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" sheetId="1" r:id="rId5"/>
    <sheet state="visible" name="Estacao de Pesagerm" sheetId="2" r:id="rId6"/>
    <sheet state="visible" name="Totem RFID" sheetId="3" r:id="rId7"/>
    <sheet state="visible" name="Metereologia" sheetId="4" r:id="rId8"/>
    <sheet state="visible" name="Leitor Manual" sheetId="5" r:id="rId9"/>
    <sheet state="visible" name="WiFi" sheetId="6" r:id="rId10"/>
    <sheet state="visible" name="Instalação Campo" sheetId="7" r:id="rId11"/>
    <sheet state="visible" name="Nuvem" sheetId="8" r:id="rId12"/>
    <sheet state="visible" name="Sheet1" sheetId="9" r:id="rId13"/>
    <sheet state="visible" name="Mercado BR" sheetId="10" r:id="rId14"/>
  </sheets>
  <definedNames/>
  <calcPr/>
</workbook>
</file>

<file path=xl/sharedStrings.xml><?xml version="1.0" encoding="utf-8"?>
<sst xmlns="http://schemas.openxmlformats.org/spreadsheetml/2006/main" count="243" uniqueCount="176">
  <si>
    <t>Intelicampo</t>
  </si>
  <si>
    <t>Planos</t>
  </si>
  <si>
    <t>Margem de Lucro</t>
  </si>
  <si>
    <t>&gt; 2,000</t>
  </si>
  <si>
    <t>Preço da Cabeça Monitorada</t>
  </si>
  <si>
    <t>Preço Cabeça Mínimo Por Faixa</t>
  </si>
  <si>
    <t>Preço Cabeça Máximo Por Faixa</t>
  </si>
  <si>
    <t>Fazendas</t>
  </si>
  <si>
    <t>Preços</t>
  </si>
  <si>
    <t>Preço</t>
  </si>
  <si>
    <t>Rebanho</t>
  </si>
  <si>
    <t>Total Serviços/Mês</t>
  </si>
  <si>
    <t>Monitoração Animais/Mês</t>
  </si>
  <si>
    <t>Consultoria Inicial/3 dias/mes</t>
  </si>
  <si>
    <t>Estação de Pesagem</t>
  </si>
  <si>
    <t>Brincos (R$4,00/brinco)</t>
  </si>
  <si>
    <t>Metereologia</t>
  </si>
  <si>
    <t>Totem RFID</t>
  </si>
  <si>
    <t>Leitor Manual</t>
  </si>
  <si>
    <t>WiFi</t>
  </si>
  <si>
    <t>Intelicamp Aquisição de Dados</t>
  </si>
  <si>
    <t>Intelicamp Reprodução (mes)</t>
  </si>
  <si>
    <t>Intelicamp Manejo (mês)</t>
  </si>
  <si>
    <t>Intelicamp Nutrição (mês)</t>
  </si>
  <si>
    <t>Intelicamp Leite (mês)</t>
  </si>
  <si>
    <t>Intelicampo Finançeiro (mês)</t>
  </si>
  <si>
    <t>Intelicampo Inteligencia Artificial</t>
  </si>
  <si>
    <t>Instalação (hh)</t>
  </si>
  <si>
    <t>Plano de Manutenção Software</t>
  </si>
  <si>
    <t>Nuvem</t>
  </si>
  <si>
    <t>Planos da Lebov</t>
  </si>
  <si>
    <t>Gratis</t>
  </si>
  <si>
    <t>A Combinar</t>
  </si>
  <si>
    <t>Módulo de Automação</t>
  </si>
  <si>
    <t>Leitor RFID</t>
  </si>
  <si>
    <t>Processadores</t>
  </si>
  <si>
    <t>Outros circuitos</t>
  </si>
  <si>
    <t>Sensor temperatura</t>
  </si>
  <si>
    <t>Case</t>
  </si>
  <si>
    <t>Montagem do Módulo</t>
  </si>
  <si>
    <t>Estrutura</t>
  </si>
  <si>
    <t>Antena RFID</t>
  </si>
  <si>
    <t>Barras de Pesagem</t>
  </si>
  <si>
    <t>Kit solar Komaes e Controlador de carga</t>
  </si>
  <si>
    <t>Bateria 70aH</t>
  </si>
  <si>
    <t>Internet</t>
  </si>
  <si>
    <t>Camera ICSEE externa</t>
  </si>
  <si>
    <t>Passarela</t>
  </si>
  <si>
    <t>Passarela Material</t>
  </si>
  <si>
    <t>Pintura Eletroestática</t>
  </si>
  <si>
    <t>Fabricação Passarela</t>
  </si>
  <si>
    <t>Ferragens</t>
  </si>
  <si>
    <t>Cimentado</t>
  </si>
  <si>
    <t>Pedreiro</t>
  </si>
  <si>
    <t>Poste concreto 7 metros</t>
  </si>
  <si>
    <t>Componente</t>
  </si>
  <si>
    <t>Modelo</t>
  </si>
  <si>
    <t>Unitário(R$)</t>
  </si>
  <si>
    <t>Quantidade</t>
  </si>
  <si>
    <t>R$</t>
  </si>
  <si>
    <t>$</t>
  </si>
  <si>
    <t>C$</t>
  </si>
  <si>
    <t>Fornecedor</t>
  </si>
  <si>
    <t>Kit solar Komaes e controlador de carga</t>
  </si>
  <si>
    <t>Mercado Livre</t>
  </si>
  <si>
    <t>cf-mu904</t>
  </si>
  <si>
    <t>Pedestal</t>
  </si>
  <si>
    <t>Extras</t>
  </si>
  <si>
    <t>Bateria</t>
  </si>
  <si>
    <t>Eletronica embarcada</t>
  </si>
  <si>
    <t>Antena direcional</t>
  </si>
  <si>
    <t>Mikrotic</t>
  </si>
  <si>
    <t>Roteador Wifi</t>
  </si>
  <si>
    <t>Fabricação</t>
  </si>
  <si>
    <t>Total</t>
  </si>
  <si>
    <t>BME280</t>
  </si>
  <si>
    <t>ESP</t>
  </si>
  <si>
    <t>bateria</t>
  </si>
  <si>
    <t>RTC</t>
  </si>
  <si>
    <t>Caixa</t>
  </si>
  <si>
    <t>Placa</t>
  </si>
  <si>
    <t>Conectores e cabos</t>
  </si>
  <si>
    <t>bme280</t>
  </si>
  <si>
    <t>China</t>
  </si>
  <si>
    <t>rtc</t>
  </si>
  <si>
    <t xml:space="preserve"> </t>
  </si>
  <si>
    <t>Antena</t>
  </si>
  <si>
    <t>Celular Android</t>
  </si>
  <si>
    <t>Bateria 12v</t>
  </si>
  <si>
    <t>Unitário</t>
  </si>
  <si>
    <t>Antena Mikrotik</t>
  </si>
  <si>
    <t>STX Lite5</t>
  </si>
  <si>
    <t>Antena Direcional Mikrotik</t>
  </si>
  <si>
    <t>MT-262006</t>
  </si>
  <si>
    <t>$150</t>
  </si>
  <si>
    <t>Repetidor</t>
  </si>
  <si>
    <t>Cabo coxeao direta</t>
  </si>
  <si>
    <t>Câmera</t>
  </si>
  <si>
    <t>IP Icsee</t>
  </si>
  <si>
    <t>Saco de cimento</t>
  </si>
  <si>
    <t>Mourões</t>
  </si>
  <si>
    <t>Madeira</t>
  </si>
  <si>
    <t>Arame liso</t>
  </si>
  <si>
    <t>Metros</t>
  </si>
  <si>
    <t>Poste Cimento</t>
  </si>
  <si>
    <t>Galvanizado</t>
  </si>
  <si>
    <t>Esticadores de fio</t>
  </si>
  <si>
    <t>Brita</t>
  </si>
  <si>
    <t>Kg</t>
  </si>
  <si>
    <t>Conduite</t>
  </si>
  <si>
    <t>Disjuntor</t>
  </si>
  <si>
    <t>Cabo energia</t>
  </si>
  <si>
    <t>Tela de aço</t>
  </si>
  <si>
    <t>Suporte painel solar</t>
  </si>
  <si>
    <t>Suporte leitor rfid</t>
  </si>
  <si>
    <t>Suporte câmera</t>
  </si>
  <si>
    <t>Pintura</t>
  </si>
  <si>
    <t>Mão de Obra</t>
  </si>
  <si>
    <t>Azure</t>
  </si>
  <si>
    <t>CPU</t>
  </si>
  <si>
    <t>Armazenamento</t>
  </si>
  <si>
    <t>Estudo de Caso</t>
  </si>
  <si>
    <t>Participaçã0 (%)</t>
  </si>
  <si>
    <t>Totem/Fazenda</t>
  </si>
  <si>
    <t>Barra de Pesagem/Fazenda</t>
  </si>
  <si>
    <t>Instalacão/Fazenda (hr)</t>
  </si>
  <si>
    <t>Ambfarm/Fazenda</t>
  </si>
  <si>
    <t>Media/Cabeça</t>
  </si>
  <si>
    <t>Consultoria (hr)</t>
  </si>
  <si>
    <t>16 hs/fazenda</t>
  </si>
  <si>
    <t>Leitor Manual/Fazenda</t>
  </si>
  <si>
    <t>wifi/Farm</t>
  </si>
  <si>
    <t>Estação Pesagem/Fazenda</t>
  </si>
  <si>
    <t>Licence/Fazenda</t>
  </si>
  <si>
    <t>WIFI:</t>
  </si>
  <si>
    <t>Estado</t>
  </si>
  <si>
    <t>Bovinos</t>
  </si>
  <si>
    <t>Animal/Fazenda</t>
  </si>
  <si>
    <t>Nossas Fazendas</t>
  </si>
  <si>
    <t>Nossos Animais</t>
  </si>
  <si>
    <t>Aquisição de Dados/Ano</t>
  </si>
  <si>
    <t>Meteorologia</t>
  </si>
  <si>
    <t>Consultoria</t>
  </si>
  <si>
    <t>Wifi</t>
  </si>
  <si>
    <t>Monitoração Animais*</t>
  </si>
  <si>
    <t>Total / Estado</t>
  </si>
  <si>
    <t>Mensal/Estado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</si>
  <si>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</si>
  <si>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</si>
  <si>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</si>
  <si>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</si>
  <si>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</si>
  <si>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</si>
  <si>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</si>
  <si>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</si>
  <si>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</si>
  <si>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</si>
  <si>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</si>
  <si>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</si>
  <si>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</si>
  <si>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</si>
  <si>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</si>
  <si>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</si>
  <si>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</si>
  <si>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</si>
  <si>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</si>
  <si>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</si>
  <si>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</si>
  <si>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</si>
  <si>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</si>
  <si>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</si>
  <si>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</si>
  <si>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</si>
  <si>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</si>
  <si>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Totais</t>
  </si>
  <si>
    <t>*Media nacional de 68 animais por fazenda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</si>
</sst>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-416]\ #,##0.00"/>
    <numFmt numFmtId="165" formatCode="&quot;R$&quot;#,##0.00"/>
    <numFmt numFmtId="166" formatCode="&quot;R$&quot;#,##0.00_);[Red]\(&quot;R$&quot;#,##0.00\)"/>
    <numFmt numFmtId="167" formatCode="&quot;$&quot;#,##0.00"/>
    <numFmt numFmtId="168" formatCode="[$$-1009]#,##0.00"/>
    <numFmt numFmtId="169" formatCode="[$$-409]#,##0.00"/>
    <numFmt numFmtId="170" formatCode="0.0"/>
    <numFmt numFmtId="171" formatCode="&quot;R$&quot;\ #,##0.00"/>
  </numFmts>
  <fonts count="16">
    <font>
      <sz val="12.0"/>
      <color rgb="FF000000"/>
      <name val="Calibri"/>
      <scheme val="minor"/>
    </font>
    <font>
      <b/>
      <sz val="12.0"/>
      <color theme="1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sz val="12.0"/>
      <color theme="0"/>
      <name val="Calibri"/>
    </font>
    <font>
      <sz val="12.0"/>
      <color theme="1"/>
      <name val="Calibri"/>
    </font>
    <font>
      <sz val="12.0"/>
      <color rgb="FFFF0000"/>
      <name val="Calibri"/>
    </font>
    <font>
      <b/>
      <sz val="14.0"/>
      <color theme="0"/>
      <name val="Calibri"/>
    </font>
    <font>
      <sz val="20.0"/>
      <color theme="1"/>
      <name val="Calibri"/>
    </font>
    <font>
      <b/>
      <sz val="12.0"/>
      <color rgb="FFFFFFFF"/>
      <name val="Calibri"/>
    </font>
    <font>
      <sz val="18.0"/>
      <color theme="1"/>
      <name val="Calibri"/>
    </font>
    <font>
      <sz val="12.0"/>
      <color rgb="FF000000"/>
      <name val="Open Sans"/>
    </font>
    <font>
      <sz val="12.0"/>
      <color theme="1"/>
      <name val="Open Sans"/>
    </font>
    <font>
      <sz val="12.0"/>
      <color rgb="FF4B4B4C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</fills>
  <borders count="21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1" numFmtId="0" xfId="0" applyBorder="1" applyFont="1"/>
    <xf borderId="7" fillId="3" fontId="3" numFmtId="9" xfId="0" applyAlignment="1" applyBorder="1" applyFill="1" applyFont="1" applyNumberFormat="1">
      <alignment horizontal="center"/>
    </xf>
    <xf borderId="7" fillId="3" fontId="3" numFmtId="0" xfId="0" applyBorder="1" applyFont="1"/>
    <xf borderId="7" fillId="3" fontId="4" numFmtId="3" xfId="0" applyBorder="1" applyFont="1" applyNumberFormat="1"/>
    <xf borderId="8" fillId="3" fontId="4" numFmtId="3" xfId="0" applyBorder="1" applyFont="1" applyNumberFormat="1"/>
    <xf borderId="7" fillId="3" fontId="4" numFmtId="0" xfId="0" applyBorder="1" applyFont="1"/>
    <xf borderId="9" fillId="2" fontId="1" numFmtId="0" xfId="0" applyBorder="1" applyFont="1"/>
    <xf borderId="10" fillId="0" fontId="3" numFmtId="0" xfId="0" applyAlignment="1" applyBorder="1" applyFont="1">
      <alignment horizontal="center"/>
    </xf>
    <xf borderId="10" fillId="0" fontId="4" numFmtId="0" xfId="0" applyBorder="1" applyFont="1"/>
    <xf borderId="10" fillId="0" fontId="3" numFmtId="164" xfId="0" applyBorder="1" applyFont="1" applyNumberFormat="1"/>
    <xf borderId="7" fillId="0" fontId="3" numFmtId="164" xfId="0" applyBorder="1" applyFont="1" applyNumberFormat="1"/>
    <xf borderId="7" fillId="2" fontId="1" numFmtId="0" xfId="0" applyBorder="1" applyFont="1"/>
    <xf borderId="11" fillId="0" fontId="3" numFmtId="0" xfId="0" applyAlignment="1" applyBorder="1" applyFont="1">
      <alignment horizontal="center"/>
    </xf>
    <xf borderId="7" fillId="0" fontId="4" numFmtId="0" xfId="0" applyBorder="1" applyFont="1"/>
    <xf borderId="12" fillId="2" fontId="1" numFmtId="0" xfId="0" applyBorder="1" applyFont="1"/>
    <xf borderId="4" fillId="0" fontId="4" numFmtId="0" xfId="0" applyBorder="1" applyFont="1"/>
    <xf borderId="7" fillId="0" fontId="3" numFmtId="0" xfId="0" applyAlignment="1" applyBorder="1" applyFont="1">
      <alignment horizontal="center" vertical="center"/>
    </xf>
    <xf borderId="7" fillId="0" fontId="3" numFmtId="0" xfId="0" applyBorder="1" applyFont="1"/>
    <xf borderId="0" fillId="0" fontId="5" numFmtId="0" xfId="0" applyFont="1"/>
    <xf borderId="0" fillId="0" fontId="3" numFmtId="0" xfId="0" applyFont="1"/>
    <xf borderId="3" fillId="0" fontId="3" numFmtId="0" xfId="0" applyBorder="1" applyFont="1"/>
    <xf borderId="7" fillId="2" fontId="6" numFmtId="0" xfId="0" applyBorder="1" applyFont="1"/>
    <xf borderId="13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center"/>
    </xf>
    <xf borderId="7" fillId="2" fontId="6" numFmtId="0" xfId="0" applyAlignment="1" applyBorder="1" applyFont="1">
      <alignment horizontal="center"/>
    </xf>
    <xf borderId="14" fillId="3" fontId="3" numFmtId="0" xfId="0" applyBorder="1" applyFont="1"/>
    <xf borderId="7" fillId="2" fontId="1" numFmtId="165" xfId="0" applyAlignment="1" applyBorder="1" applyFont="1" applyNumberFormat="1">
      <alignment horizontal="center"/>
    </xf>
    <xf borderId="7" fillId="4" fontId="5" numFmtId="3" xfId="0" applyAlignment="1" applyBorder="1" applyFill="1" applyFont="1" applyNumberFormat="1">
      <alignment horizontal="center"/>
    </xf>
    <xf borderId="7" fillId="2" fontId="6" numFmtId="164" xfId="0" applyBorder="1" applyFont="1" applyNumberFormat="1"/>
    <xf borderId="6" fillId="2" fontId="6" numFmtId="164" xfId="0" applyBorder="1" applyFont="1" applyNumberFormat="1"/>
    <xf borderId="7" fillId="2" fontId="3" numFmtId="164" xfId="0" applyBorder="1" applyFont="1" applyNumberFormat="1"/>
    <xf borderId="7" fillId="2" fontId="6" numFmtId="165" xfId="0" applyAlignment="1" applyBorder="1" applyFont="1" applyNumberFormat="1">
      <alignment horizontal="center"/>
    </xf>
    <xf borderId="7" fillId="0" fontId="6" numFmtId="165" xfId="0" applyAlignment="1" applyBorder="1" applyFont="1" applyNumberFormat="1">
      <alignment horizontal="center"/>
    </xf>
    <xf borderId="7" fillId="0" fontId="6" numFmtId="0" xfId="0" applyAlignment="1" applyBorder="1" applyFont="1">
      <alignment horizontal="center"/>
    </xf>
    <xf borderId="7" fillId="0" fontId="6" numFmtId="164" xfId="0" applyBorder="1" applyFont="1" applyNumberFormat="1"/>
    <xf borderId="7" fillId="0" fontId="3" numFmtId="165" xfId="0" applyBorder="1" applyFont="1" applyNumberFormat="1"/>
    <xf borderId="7" fillId="2" fontId="3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7" fillId="2" fontId="3" numFmtId="3" xfId="0" applyAlignment="1" applyBorder="1" applyFont="1" applyNumberFormat="1">
      <alignment horizontal="center"/>
    </xf>
    <xf borderId="9" fillId="2" fontId="6" numFmtId="0" xfId="0" applyAlignment="1" applyBorder="1" applyFont="1">
      <alignment horizontal="center"/>
    </xf>
    <xf borderId="7" fillId="3" fontId="3" numFmtId="0" xfId="0" applyAlignment="1" applyBorder="1" applyFont="1">
      <alignment horizontal="left"/>
    </xf>
    <xf borderId="12" fillId="3" fontId="3" numFmtId="0" xfId="0" applyBorder="1" applyFont="1"/>
    <xf borderId="11" fillId="0" fontId="3" numFmtId="165" xfId="0" applyBorder="1" applyFont="1" applyNumberFormat="1"/>
    <xf borderId="15" fillId="0" fontId="3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7" fillId="2" fontId="3" numFmtId="0" xfId="0" applyBorder="1" applyFont="1"/>
    <xf borderId="3" fillId="2" fontId="6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7" fillId="3" fontId="3" numFmtId="166" xfId="0" applyBorder="1" applyFont="1" applyNumberFormat="1"/>
    <xf borderId="0" fillId="0" fontId="8" numFmtId="0" xfId="0" applyFont="1"/>
    <xf borderId="0" fillId="0" fontId="9" numFmtId="0" xfId="0" applyFont="1"/>
    <xf borderId="11" fillId="0" fontId="9" numFmtId="3" xfId="0" applyAlignment="1" applyBorder="1" applyFont="1" applyNumberFormat="1">
      <alignment horizontal="center"/>
    </xf>
    <xf borderId="10" fillId="0" fontId="2" numFmtId="0" xfId="0" applyBorder="1" applyFont="1"/>
    <xf borderId="7" fillId="2" fontId="6" numFmtId="165" xfId="0" applyBorder="1" applyFont="1" applyNumberFormat="1"/>
    <xf borderId="7" fillId="4" fontId="5" numFmtId="164" xfId="0" applyBorder="1" applyFont="1" applyNumberFormat="1"/>
    <xf borderId="7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7" fillId="0" fontId="5" numFmtId="0" xfId="0" applyBorder="1" applyFont="1"/>
    <xf borderId="7" fillId="2" fontId="6" numFmtId="0" xfId="0" applyAlignment="1" applyBorder="1" applyFont="1">
      <alignment horizontal="left"/>
    </xf>
    <xf borderId="7" fillId="0" fontId="6" numFmtId="0" xfId="0" applyAlignment="1" applyBorder="1" applyFont="1">
      <alignment horizontal="left"/>
    </xf>
    <xf borderId="7" fillId="0" fontId="6" numFmtId="165" xfId="0" applyBorder="1" applyFont="1" applyNumberFormat="1"/>
    <xf borderId="7" fillId="2" fontId="1" numFmtId="165" xfId="0" applyBorder="1" applyFont="1" applyNumberFormat="1"/>
    <xf borderId="7" fillId="2" fontId="1" numFmtId="0" xfId="0" applyAlignment="1" applyBorder="1" applyFont="1">
      <alignment horizontal="center"/>
    </xf>
    <xf borderId="7" fillId="0" fontId="3" numFmtId="167" xfId="0" applyBorder="1" applyFont="1" applyNumberFormat="1"/>
    <xf borderId="7" fillId="0" fontId="3" numFmtId="168" xfId="0" applyBorder="1" applyFont="1" applyNumberFormat="1"/>
    <xf borderId="7" fillId="0" fontId="3" numFmtId="169" xfId="0" applyBorder="1" applyFont="1" applyNumberFormat="1"/>
    <xf borderId="7" fillId="4" fontId="10" numFmtId="165" xfId="0" applyBorder="1" applyFont="1" applyNumberFormat="1"/>
    <xf borderId="7" fillId="2" fontId="1" numFmtId="169" xfId="0" applyBorder="1" applyFont="1" applyNumberFormat="1"/>
    <xf borderId="7" fillId="2" fontId="1" numFmtId="168" xfId="0" applyBorder="1" applyFont="1" applyNumberFormat="1"/>
    <xf borderId="7" fillId="0" fontId="6" numFmtId="0" xfId="0" applyBorder="1" applyFont="1"/>
    <xf borderId="18" fillId="2" fontId="11" numFmtId="0" xfId="0" applyAlignment="1" applyBorder="1" applyFont="1">
      <alignment horizontal="center"/>
    </xf>
    <xf borderId="19" fillId="0" fontId="2" numFmtId="0" xfId="0" applyBorder="1" applyFont="1"/>
    <xf borderId="20" fillId="0" fontId="2" numFmtId="0" xfId="0" applyBorder="1" applyFont="1"/>
    <xf borderId="10" fillId="0" fontId="4" numFmtId="0" xfId="0" applyAlignment="1" applyBorder="1" applyFont="1">
      <alignment horizontal="center"/>
    </xf>
    <xf borderId="10" fillId="0" fontId="3" numFmtId="0" xfId="0" applyBorder="1" applyFont="1"/>
    <xf borderId="3" fillId="0" fontId="4" numFmtId="0" xfId="0" applyBorder="1" applyFont="1"/>
    <xf borderId="5" fillId="0" fontId="4" numFmtId="0" xfId="0" applyAlignment="1" applyBorder="1" applyFont="1">
      <alignment horizontal="center"/>
    </xf>
    <xf borderId="0" fillId="0" fontId="12" numFmtId="0" xfId="0" applyFont="1"/>
    <xf borderId="0" fillId="0" fontId="3" numFmtId="3" xfId="0" applyFont="1" applyNumberFormat="1"/>
    <xf borderId="7" fillId="5" fontId="13" numFmtId="0" xfId="0" applyAlignment="1" applyBorder="1" applyFill="1" applyFont="1">
      <alignment horizontal="center"/>
    </xf>
    <xf borderId="7" fillId="0" fontId="14" numFmtId="0" xfId="0" applyBorder="1" applyFont="1"/>
    <xf borderId="7" fillId="0" fontId="14" numFmtId="3" xfId="0" applyAlignment="1" applyBorder="1" applyFont="1" applyNumberFormat="1">
      <alignment horizontal="right"/>
    </xf>
    <xf borderId="7" fillId="0" fontId="14" numFmtId="3" xfId="0" applyBorder="1" applyFont="1" applyNumberFormat="1"/>
    <xf borderId="7" fillId="0" fontId="6" numFmtId="170" xfId="0" applyBorder="1" applyFont="1" applyNumberFormat="1"/>
    <xf borderId="7" fillId="0" fontId="6" numFmtId="3" xfId="0" applyBorder="1" applyFont="1" applyNumberFormat="1"/>
    <xf borderId="7" fillId="0" fontId="6" numFmtId="171" xfId="0" applyBorder="1" applyFont="1" applyNumberFormat="1"/>
    <xf borderId="7" fillId="0" fontId="3" numFmtId="171" xfId="0" applyBorder="1" applyFont="1" applyNumberFormat="1"/>
    <xf borderId="0" fillId="0" fontId="3" numFmtId="164" xfId="0" applyFont="1" applyNumberFormat="1"/>
    <xf borderId="7" fillId="2" fontId="1" numFmtId="3" xfId="0" applyBorder="1" applyFont="1" applyNumberFormat="1"/>
    <xf borderId="7" fillId="2" fontId="1" numFmtId="170" xfId="0" applyBorder="1" applyFont="1" applyNumberFormat="1"/>
    <xf borderId="12" fillId="2" fontId="1" numFmtId="3" xfId="0" applyBorder="1" applyFont="1" applyNumberFormat="1"/>
    <xf borderId="7" fillId="2" fontId="1" numFmtId="164" xfId="0" applyBorder="1" applyFont="1" applyNumberFormat="1"/>
    <xf borderId="7" fillId="2" fontId="1" numFmtId="171" xfId="0" applyBorder="1" applyFont="1" applyNumberFormat="1"/>
    <xf borderId="7" fillId="2" fontId="3" numFmtId="0" xfId="0" applyAlignment="1" applyBorder="1" applyFont="1">
      <alignment horizontal="right"/>
    </xf>
    <xf borderId="8" fillId="2" fontId="6" numFmtId="3" xfId="0" applyBorder="1" applyFont="1" applyNumberFormat="1"/>
    <xf borderId="7" fillId="2" fontId="6" numFmtId="3" xfId="0" applyBorder="1" applyFont="1" applyNumberFormat="1"/>
    <xf borderId="6" fillId="2" fontId="6" numFmtId="3" xfId="0" applyBorder="1" applyFont="1" applyNumberFormat="1"/>
    <xf borderId="7" fillId="2" fontId="1" numFmtId="167" xfId="0" applyBorder="1" applyFont="1" applyNumberFormat="1"/>
    <xf borderId="0" fillId="0" fontId="15" numFmtId="0" xfId="0" applyFont="1"/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12.33"/>
    <col customWidth="1" min="3" max="3" width="15.0"/>
    <col customWidth="1" min="4" max="4" width="16.11"/>
    <col customWidth="1" min="5" max="5" width="18.11"/>
    <col customWidth="1" min="6" max="6" width="17.33"/>
    <col customWidth="1" min="7" max="8" width="18.11"/>
    <col customWidth="1" min="9" max="9" width="13.0"/>
    <col customWidth="1" min="10" max="10" width="17.11"/>
    <col customWidth="1" min="11" max="26" width="14.3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/>
    </row>
    <row r="2" ht="15.75" customHeight="1">
      <c r="A2" s="6" t="s">
        <v>2</v>
      </c>
      <c r="B2" s="7">
        <v>0.0</v>
      </c>
      <c r="C2" s="8"/>
      <c r="D2" s="9">
        <v>50.0</v>
      </c>
      <c r="E2" s="10">
        <v>100.0</v>
      </c>
      <c r="F2" s="9">
        <v>500.0</v>
      </c>
      <c r="G2" s="9">
        <v>1000.0</v>
      </c>
      <c r="H2" s="9">
        <v>2000.0</v>
      </c>
      <c r="I2" s="11" t="s">
        <v>3</v>
      </c>
    </row>
    <row r="3" ht="15.75" customHeight="1">
      <c r="A3" s="12" t="s">
        <v>4</v>
      </c>
      <c r="B3" s="13"/>
      <c r="C3" s="14"/>
      <c r="D3" s="15">
        <v>1.0</v>
      </c>
      <c r="E3" s="16">
        <v>0.7</v>
      </c>
      <c r="F3" s="16">
        <v>0.6</v>
      </c>
      <c r="G3" s="16">
        <v>0.5</v>
      </c>
      <c r="H3" s="16">
        <v>0.4</v>
      </c>
      <c r="I3" s="16">
        <v>0.3</v>
      </c>
    </row>
    <row r="4" ht="15.75" customHeight="1">
      <c r="A4" s="17" t="s">
        <v>5</v>
      </c>
      <c r="B4" s="18"/>
      <c r="C4" s="19"/>
      <c r="D4" s="16">
        <f>0*D3</f>
        <v>0</v>
      </c>
      <c r="E4" s="16">
        <f t="shared" ref="E4:I4" si="1">(D2+1)*E3</f>
        <v>35.7</v>
      </c>
      <c r="F4" s="16">
        <f t="shared" si="1"/>
        <v>60.6</v>
      </c>
      <c r="G4" s="16">
        <f t="shared" si="1"/>
        <v>250.5</v>
      </c>
      <c r="H4" s="16">
        <f t="shared" si="1"/>
        <v>400.4</v>
      </c>
      <c r="I4" s="16">
        <f t="shared" si="1"/>
        <v>600.3</v>
      </c>
    </row>
    <row r="5" ht="15.75" customHeight="1">
      <c r="A5" s="20" t="s">
        <v>6</v>
      </c>
      <c r="B5" s="18"/>
      <c r="C5" s="21"/>
      <c r="D5" s="16">
        <f>50*D3</f>
        <v>50</v>
      </c>
      <c r="E5" s="16">
        <f t="shared" ref="E5:H5" si="2">E2*E3</f>
        <v>70</v>
      </c>
      <c r="F5" s="16">
        <f t="shared" si="2"/>
        <v>300</v>
      </c>
      <c r="G5" s="16">
        <f t="shared" si="2"/>
        <v>500</v>
      </c>
      <c r="H5" s="16">
        <f t="shared" si="2"/>
        <v>800</v>
      </c>
      <c r="I5" s="16">
        <f>I3*$C9</f>
        <v>150</v>
      </c>
    </row>
    <row r="6" ht="15.75" customHeight="1">
      <c r="A6" s="17" t="s">
        <v>7</v>
      </c>
      <c r="B6" s="22">
        <v>1.0</v>
      </c>
      <c r="C6" s="21"/>
      <c r="D6" s="16"/>
      <c r="E6" s="16"/>
      <c r="F6" s="16"/>
      <c r="G6" s="16"/>
      <c r="H6" s="16"/>
      <c r="I6" s="23"/>
    </row>
    <row r="7" ht="15.75" customHeight="1">
      <c r="A7" s="24"/>
      <c r="B7" s="25"/>
      <c r="C7" s="21"/>
      <c r="D7" s="16"/>
      <c r="E7" s="16"/>
      <c r="F7" s="16"/>
      <c r="G7" s="16"/>
      <c r="H7" s="16"/>
      <c r="I7" s="26"/>
    </row>
    <row r="8" ht="15.75" customHeight="1">
      <c r="A8" s="27" t="s">
        <v>8</v>
      </c>
      <c r="B8" s="28" t="s">
        <v>9</v>
      </c>
      <c r="C8" s="29" t="s">
        <v>10</v>
      </c>
      <c r="D8" s="17"/>
      <c r="E8" s="17"/>
      <c r="F8" s="17"/>
      <c r="G8" s="17"/>
      <c r="H8" s="17"/>
      <c r="I8" s="6"/>
      <c r="J8" s="30" t="s">
        <v>11</v>
      </c>
    </row>
    <row r="9" ht="15.75" customHeight="1">
      <c r="A9" s="31" t="s">
        <v>12</v>
      </c>
      <c r="B9" s="32"/>
      <c r="C9" s="33">
        <v>500.0</v>
      </c>
      <c r="D9" s="34">
        <f>IF(AND($C$9&gt;0,$C$9&lt;=50),$C$9*D3,0)</f>
        <v>0</v>
      </c>
      <c r="E9" s="34">
        <f>IF(AND($C$9&gt;50,$C$9&lt;=100),$C$9*E3,0)</f>
        <v>0</v>
      </c>
      <c r="F9" s="34">
        <f>IF(AND($C$9&gt;100,$C$9&lt;=500),$C$9*F3,0)</f>
        <v>300</v>
      </c>
      <c r="G9" s="34">
        <f>IF(AND($C$9&gt;500,$C$9&lt;=1000),$C$9*G3,0)</f>
        <v>0</v>
      </c>
      <c r="H9" s="34">
        <f>IF(AND($C$9&gt;1000,$C$9&lt;=2000),$C$9*H3,0)</f>
        <v>0</v>
      </c>
      <c r="I9" s="35">
        <f>IF(AND($C$9&gt;2000),$C$9*I3,0)</f>
        <v>0</v>
      </c>
      <c r="J9" s="36">
        <f t="shared" ref="J9:J10" si="4">SUM(D9:I9)</f>
        <v>300</v>
      </c>
    </row>
    <row r="10" ht="15.75" customHeight="1">
      <c r="A10" s="8" t="s">
        <v>13</v>
      </c>
      <c r="B10" s="37">
        <v>200.0</v>
      </c>
      <c r="C10" s="30">
        <v>3.0</v>
      </c>
      <c r="D10" s="34">
        <f t="shared" ref="D10:I10" si="3">IF(D9=0,0,$B10*$C10)</f>
        <v>0</v>
      </c>
      <c r="E10" s="34">
        <f t="shared" si="3"/>
        <v>0</v>
      </c>
      <c r="F10" s="34">
        <f t="shared" si="3"/>
        <v>600</v>
      </c>
      <c r="G10" s="34">
        <f t="shared" si="3"/>
        <v>0</v>
      </c>
      <c r="H10" s="34">
        <f t="shared" si="3"/>
        <v>0</v>
      </c>
      <c r="I10" s="35">
        <f t="shared" si="3"/>
        <v>0</v>
      </c>
      <c r="J10" s="36">
        <f t="shared" si="4"/>
        <v>600</v>
      </c>
    </row>
    <row r="11" ht="15.75" customHeight="1">
      <c r="A11" s="8"/>
      <c r="B11" s="38"/>
      <c r="C11" s="39"/>
      <c r="D11" s="40"/>
      <c r="E11" s="40"/>
      <c r="F11" s="40"/>
      <c r="G11" s="40"/>
      <c r="H11" s="40"/>
      <c r="I11" s="40"/>
    </row>
    <row r="12" ht="15.75" customHeight="1">
      <c r="A12" s="8" t="s">
        <v>14</v>
      </c>
      <c r="B12" s="41">
        <f>'Estacao de Pesagerm'!D23*(1+B2)</f>
        <v>11107</v>
      </c>
      <c r="C12" s="42">
        <v>1.0</v>
      </c>
      <c r="D12" s="16">
        <f>$B12*C12*B6</f>
        <v>11107</v>
      </c>
      <c r="E12" s="16">
        <f t="shared" ref="E12:I12" si="5">$B12*$B6</f>
        <v>11107</v>
      </c>
      <c r="F12" s="16">
        <f t="shared" si="5"/>
        <v>11107</v>
      </c>
      <c r="G12" s="16">
        <f t="shared" si="5"/>
        <v>11107</v>
      </c>
      <c r="H12" s="16">
        <f t="shared" si="5"/>
        <v>11107</v>
      </c>
      <c r="I12" s="16">
        <f t="shared" si="5"/>
        <v>11107</v>
      </c>
      <c r="J12" s="43"/>
    </row>
    <row r="13" ht="15.75" customHeight="1">
      <c r="A13" s="8" t="s">
        <v>15</v>
      </c>
      <c r="B13" s="41">
        <f>4*(1+B2)</f>
        <v>4</v>
      </c>
      <c r="C13" s="44" t="str">
        <f>I33</f>
        <v/>
      </c>
      <c r="D13" s="16">
        <f>$B13*$C$9*(1+C13)</f>
        <v>2000</v>
      </c>
      <c r="E13" s="16">
        <f t="shared" ref="E13:I13" si="6">$B13*$C$9</f>
        <v>2000</v>
      </c>
      <c r="F13" s="16">
        <f t="shared" si="6"/>
        <v>2000</v>
      </c>
      <c r="G13" s="16">
        <f t="shared" si="6"/>
        <v>2000</v>
      </c>
      <c r="H13" s="16">
        <f t="shared" si="6"/>
        <v>2000</v>
      </c>
      <c r="I13" s="16">
        <f t="shared" si="6"/>
        <v>2000</v>
      </c>
    </row>
    <row r="14" ht="15.75" customHeight="1">
      <c r="A14" s="8" t="s">
        <v>16</v>
      </c>
      <c r="B14" s="41">
        <f>Metereologia!E17*B2</f>
        <v>0</v>
      </c>
      <c r="C14" s="42">
        <v>0.0</v>
      </c>
      <c r="D14" s="16">
        <f t="shared" ref="D14:I14" si="7">$B14*$C$14</f>
        <v>0</v>
      </c>
      <c r="E14" s="16">
        <f t="shared" si="7"/>
        <v>0</v>
      </c>
      <c r="F14" s="16">
        <f t="shared" si="7"/>
        <v>0</v>
      </c>
      <c r="G14" s="16">
        <f t="shared" si="7"/>
        <v>0</v>
      </c>
      <c r="H14" s="16">
        <f t="shared" si="7"/>
        <v>0</v>
      </c>
      <c r="I14" s="16">
        <f t="shared" si="7"/>
        <v>0</v>
      </c>
    </row>
    <row r="15" ht="15.75" customHeight="1">
      <c r="A15" s="8" t="s">
        <v>17</v>
      </c>
      <c r="B15" s="41">
        <f>'Totem RFID'!E17*(1+B2)</f>
        <v>4400</v>
      </c>
      <c r="C15" s="42">
        <v>1.0</v>
      </c>
      <c r="D15" s="16">
        <f t="shared" ref="D15:I15" si="8">$B15*$C$15</f>
        <v>4400</v>
      </c>
      <c r="E15" s="16">
        <f t="shared" si="8"/>
        <v>4400</v>
      </c>
      <c r="F15" s="16">
        <f t="shared" si="8"/>
        <v>4400</v>
      </c>
      <c r="G15" s="16">
        <f t="shared" si="8"/>
        <v>4400</v>
      </c>
      <c r="H15" s="16">
        <f t="shared" si="8"/>
        <v>4400</v>
      </c>
      <c r="I15" s="16">
        <f t="shared" si="8"/>
        <v>4400</v>
      </c>
    </row>
    <row r="16" ht="15.75" customHeight="1">
      <c r="A16" s="8" t="s">
        <v>18</v>
      </c>
      <c r="B16" s="41">
        <f>'Leitor Manual'!E18*(1+B2)</f>
        <v>3920</v>
      </c>
      <c r="C16" s="45">
        <v>1.0</v>
      </c>
      <c r="D16" s="16">
        <f t="shared" ref="D16:I16" si="9">$B16*$C16</f>
        <v>3920</v>
      </c>
      <c r="E16" s="16">
        <f t="shared" si="9"/>
        <v>3920</v>
      </c>
      <c r="F16" s="16">
        <f t="shared" si="9"/>
        <v>3920</v>
      </c>
      <c r="G16" s="16">
        <f t="shared" si="9"/>
        <v>3920</v>
      </c>
      <c r="H16" s="16">
        <f t="shared" si="9"/>
        <v>3920</v>
      </c>
      <c r="I16" s="16">
        <f t="shared" si="9"/>
        <v>3920</v>
      </c>
    </row>
    <row r="17" ht="15.75" customHeight="1">
      <c r="A17" s="8" t="s">
        <v>19</v>
      </c>
      <c r="B17" s="41">
        <f>WiFi!E17*Calculador!B2</f>
        <v>0</v>
      </c>
      <c r="C17" s="42">
        <v>1.0</v>
      </c>
      <c r="D17" s="16">
        <f t="shared" ref="D17:I17" si="10">$B17*$C$17</f>
        <v>0</v>
      </c>
      <c r="E17" s="16">
        <f t="shared" si="10"/>
        <v>0</v>
      </c>
      <c r="F17" s="16">
        <f t="shared" si="10"/>
        <v>0</v>
      </c>
      <c r="G17" s="16">
        <f t="shared" si="10"/>
        <v>0</v>
      </c>
      <c r="H17" s="16">
        <f t="shared" si="10"/>
        <v>0</v>
      </c>
      <c r="I17" s="16">
        <f t="shared" si="10"/>
        <v>0</v>
      </c>
    </row>
    <row r="18" ht="15.75" customHeight="1">
      <c r="A18" s="8" t="s">
        <v>20</v>
      </c>
      <c r="B18" s="41">
        <v>600.0</v>
      </c>
      <c r="C18" s="42">
        <v>1.0</v>
      </c>
      <c r="D18" s="16">
        <f t="shared" ref="D18:I18" si="11">$B18*$C18*12</f>
        <v>7200</v>
      </c>
      <c r="E18" s="16">
        <f t="shared" si="11"/>
        <v>7200</v>
      </c>
      <c r="F18" s="16">
        <f t="shared" si="11"/>
        <v>7200</v>
      </c>
      <c r="G18" s="16">
        <f t="shared" si="11"/>
        <v>7200</v>
      </c>
      <c r="H18" s="16">
        <f t="shared" si="11"/>
        <v>7200</v>
      </c>
      <c r="I18" s="16">
        <f t="shared" si="11"/>
        <v>7200</v>
      </c>
    </row>
    <row r="19" ht="15.75" customHeight="1">
      <c r="A19" s="8" t="s">
        <v>21</v>
      </c>
      <c r="B19" s="41">
        <v>600.0</v>
      </c>
      <c r="C19" s="42">
        <v>0.0</v>
      </c>
      <c r="D19" s="16">
        <f t="shared" ref="D19:I19" si="12">$B19*$C19*12</f>
        <v>0</v>
      </c>
      <c r="E19" s="16">
        <f t="shared" si="12"/>
        <v>0</v>
      </c>
      <c r="F19" s="16">
        <f t="shared" si="12"/>
        <v>0</v>
      </c>
      <c r="G19" s="16">
        <f t="shared" si="12"/>
        <v>0</v>
      </c>
      <c r="H19" s="16">
        <f t="shared" si="12"/>
        <v>0</v>
      </c>
      <c r="I19" s="16">
        <f t="shared" si="12"/>
        <v>0</v>
      </c>
    </row>
    <row r="20" ht="13.5" customHeight="1">
      <c r="A20" s="46" t="s">
        <v>22</v>
      </c>
      <c r="B20" s="41">
        <v>600.0</v>
      </c>
      <c r="C20" s="42">
        <v>0.0</v>
      </c>
      <c r="D20" s="16">
        <f t="shared" ref="D20:I20" si="13">$B20*$C20*12</f>
        <v>0</v>
      </c>
      <c r="E20" s="16">
        <f t="shared" si="13"/>
        <v>0</v>
      </c>
      <c r="F20" s="16">
        <f t="shared" si="13"/>
        <v>0</v>
      </c>
      <c r="G20" s="16">
        <f t="shared" si="13"/>
        <v>0</v>
      </c>
      <c r="H20" s="16">
        <f t="shared" si="13"/>
        <v>0</v>
      </c>
      <c r="I20" s="16">
        <f t="shared" si="13"/>
        <v>0</v>
      </c>
    </row>
    <row r="21" ht="15.75" customHeight="1">
      <c r="A21" s="46" t="s">
        <v>23</v>
      </c>
      <c r="B21" s="41">
        <v>600.0</v>
      </c>
      <c r="C21" s="42">
        <v>0.0</v>
      </c>
      <c r="D21" s="16">
        <f t="shared" ref="D21:I21" si="14">$B21*$C21*12</f>
        <v>0</v>
      </c>
      <c r="E21" s="16">
        <f t="shared" si="14"/>
        <v>0</v>
      </c>
      <c r="F21" s="16">
        <f t="shared" si="14"/>
        <v>0</v>
      </c>
      <c r="G21" s="16">
        <f t="shared" si="14"/>
        <v>0</v>
      </c>
      <c r="H21" s="16">
        <f t="shared" si="14"/>
        <v>0</v>
      </c>
      <c r="I21" s="16">
        <f t="shared" si="14"/>
        <v>0</v>
      </c>
    </row>
    <row r="22" ht="15.75" customHeight="1">
      <c r="A22" s="46" t="s">
        <v>24</v>
      </c>
      <c r="B22" s="41">
        <v>600.0</v>
      </c>
      <c r="C22" s="42">
        <v>0.0</v>
      </c>
      <c r="D22" s="16">
        <f t="shared" ref="D22:I22" si="15">$B22*$C22*12</f>
        <v>0</v>
      </c>
      <c r="E22" s="16">
        <f t="shared" si="15"/>
        <v>0</v>
      </c>
      <c r="F22" s="16">
        <f t="shared" si="15"/>
        <v>0</v>
      </c>
      <c r="G22" s="16">
        <f t="shared" si="15"/>
        <v>0</v>
      </c>
      <c r="H22" s="16">
        <f t="shared" si="15"/>
        <v>0</v>
      </c>
      <c r="I22" s="16">
        <f t="shared" si="15"/>
        <v>0</v>
      </c>
    </row>
    <row r="23" ht="15.75" customHeight="1">
      <c r="A23" s="46" t="s">
        <v>25</v>
      </c>
      <c r="B23" s="41">
        <v>600.0</v>
      </c>
      <c r="C23" s="42">
        <v>0.0</v>
      </c>
      <c r="D23" s="16">
        <f t="shared" ref="D23:I23" si="16">$B23*$C23*12</f>
        <v>0</v>
      </c>
      <c r="E23" s="16">
        <f t="shared" si="16"/>
        <v>0</v>
      </c>
      <c r="F23" s="16">
        <f t="shared" si="16"/>
        <v>0</v>
      </c>
      <c r="G23" s="16">
        <f t="shared" si="16"/>
        <v>0</v>
      </c>
      <c r="H23" s="16">
        <f t="shared" si="16"/>
        <v>0</v>
      </c>
      <c r="I23" s="16">
        <f t="shared" si="16"/>
        <v>0</v>
      </c>
    </row>
    <row r="24" ht="15.75" customHeight="1">
      <c r="A24" s="46" t="s">
        <v>26</v>
      </c>
      <c r="B24" s="41">
        <v>600.0</v>
      </c>
      <c r="C24" s="42">
        <v>0.0</v>
      </c>
      <c r="D24" s="16">
        <f t="shared" ref="D24:I24" si="17">$B24*$C24*12</f>
        <v>0</v>
      </c>
      <c r="E24" s="16">
        <f t="shared" si="17"/>
        <v>0</v>
      </c>
      <c r="F24" s="16">
        <f t="shared" si="17"/>
        <v>0</v>
      </c>
      <c r="G24" s="16">
        <f t="shared" si="17"/>
        <v>0</v>
      </c>
      <c r="H24" s="16">
        <f t="shared" si="17"/>
        <v>0</v>
      </c>
      <c r="I24" s="16">
        <f t="shared" si="17"/>
        <v>0</v>
      </c>
    </row>
    <row r="25" ht="15.75" customHeight="1">
      <c r="A25" s="8" t="s">
        <v>27</v>
      </c>
      <c r="B25" s="41">
        <v>100.0</v>
      </c>
      <c r="C25" s="42">
        <v>8.0</v>
      </c>
      <c r="D25" s="16">
        <f t="shared" ref="D25:I25" si="18">$B25*$C$25</f>
        <v>800</v>
      </c>
      <c r="E25" s="16">
        <f t="shared" si="18"/>
        <v>800</v>
      </c>
      <c r="F25" s="16">
        <f t="shared" si="18"/>
        <v>800</v>
      </c>
      <c r="G25" s="16">
        <f t="shared" si="18"/>
        <v>800</v>
      </c>
      <c r="H25" s="16">
        <f t="shared" si="18"/>
        <v>800</v>
      </c>
      <c r="I25" s="16">
        <f t="shared" si="18"/>
        <v>800</v>
      </c>
    </row>
    <row r="26" ht="15.75" customHeight="1">
      <c r="A26" s="8" t="s">
        <v>28</v>
      </c>
      <c r="B26" s="41">
        <v>100.0</v>
      </c>
      <c r="C26" s="42">
        <v>12.0</v>
      </c>
      <c r="D26" s="16">
        <f t="shared" ref="D26:I26" si="19">$B26*$C$26</f>
        <v>1200</v>
      </c>
      <c r="E26" s="16">
        <f t="shared" si="19"/>
        <v>1200</v>
      </c>
      <c r="F26" s="16">
        <f t="shared" si="19"/>
        <v>1200</v>
      </c>
      <c r="G26" s="16">
        <f t="shared" si="19"/>
        <v>1200</v>
      </c>
      <c r="H26" s="16">
        <f t="shared" si="19"/>
        <v>1200</v>
      </c>
      <c r="I26" s="16">
        <f t="shared" si="19"/>
        <v>1200</v>
      </c>
    </row>
    <row r="27" ht="15.75" customHeight="1">
      <c r="A27" s="47" t="s">
        <v>29</v>
      </c>
      <c r="B27" s="48">
        <f>Nuvem!E17</f>
        <v>300</v>
      </c>
      <c r="C27" s="42">
        <v>1.0</v>
      </c>
      <c r="D27" s="16">
        <f t="shared" ref="D27:I27" si="20">$B27*$C$27*12</f>
        <v>3600</v>
      </c>
      <c r="E27" s="16">
        <f t="shared" si="20"/>
        <v>3600</v>
      </c>
      <c r="F27" s="16">
        <f t="shared" si="20"/>
        <v>3600</v>
      </c>
      <c r="G27" s="16">
        <f t="shared" si="20"/>
        <v>3600</v>
      </c>
      <c r="H27" s="16">
        <f t="shared" si="20"/>
        <v>3600</v>
      </c>
      <c r="I27" s="16">
        <f t="shared" si="20"/>
        <v>3600</v>
      </c>
    </row>
    <row r="28" ht="15.75" customHeight="1">
      <c r="A28" s="49"/>
      <c r="B28" s="50"/>
      <c r="C28" s="50"/>
      <c r="D28" s="50"/>
      <c r="E28" s="50"/>
      <c r="F28" s="50"/>
      <c r="G28" s="50"/>
      <c r="H28" s="50"/>
      <c r="I28" s="51"/>
    </row>
    <row r="29" ht="15.75" customHeight="1">
      <c r="A29" s="52"/>
      <c r="B29" s="52"/>
      <c r="C29" s="53" t="s">
        <v>30</v>
      </c>
      <c r="D29" s="4"/>
      <c r="E29" s="4"/>
      <c r="F29" s="4"/>
      <c r="G29" s="4"/>
      <c r="H29" s="4"/>
      <c r="I29" s="5"/>
    </row>
    <row r="30" ht="15.75" customHeight="1">
      <c r="A30" s="8"/>
      <c r="B30" s="8"/>
      <c r="C30" s="8"/>
      <c r="D30" s="54" t="s">
        <v>31</v>
      </c>
      <c r="E30" s="55">
        <v>59.0</v>
      </c>
      <c r="F30" s="8"/>
      <c r="G30" s="55">
        <v>199.0</v>
      </c>
      <c r="H30" s="55">
        <v>299.0</v>
      </c>
      <c r="I30" s="54" t="s">
        <v>32</v>
      </c>
      <c r="L30" s="25"/>
    </row>
    <row r="31" ht="15.75" customHeight="1"/>
    <row r="32" ht="15.75" customHeight="1">
      <c r="B32" s="25"/>
      <c r="C32" s="25"/>
    </row>
    <row r="33" ht="15.75" customHeight="1">
      <c r="B33" s="56"/>
      <c r="C33" s="56"/>
      <c r="H33" s="57"/>
      <c r="I33" s="58"/>
    </row>
    <row r="34" ht="15.75" customHeight="1">
      <c r="B34" s="56"/>
      <c r="C34" s="56"/>
      <c r="H34" s="57"/>
      <c r="I34" s="5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I1"/>
    <mergeCell ref="J12:K12"/>
    <mergeCell ref="A28:I28"/>
    <mergeCell ref="C29:I29"/>
    <mergeCell ref="I33:I34"/>
  </mergeCells>
  <conditionalFormatting sqref="G9">
    <cfRule type="cellIs" dxfId="0" priority="1" operator="greaterThan">
      <formula>0</formula>
    </cfRule>
  </conditionalFormatting>
  <conditionalFormatting sqref="D9:E9">
    <cfRule type="cellIs" dxfId="0" priority="2" operator="greaterThan">
      <formula>0</formula>
    </cfRule>
  </conditionalFormatting>
  <conditionalFormatting sqref="F9">
    <cfRule type="cellIs" dxfId="0" priority="3" operator="greaterThan">
      <formula>0</formula>
    </cfRule>
  </conditionalFormatting>
  <conditionalFormatting sqref="H9:I9">
    <cfRule type="cellIs" dxfId="0" priority="4" operator="greaterThan">
      <formula>0</formula>
    </cfRule>
  </conditionalFormatting>
  <conditionalFormatting sqref="D10:I10">
    <cfRule type="cellIs" dxfId="0" priority="5" stopIfTrue="1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11"/>
    <col customWidth="1" min="2" max="2" width="9.67"/>
    <col customWidth="1" min="3" max="3" width="21.0"/>
    <col customWidth="1" min="4" max="4" width="13.78"/>
    <col customWidth="1" min="5" max="5" width="14.33"/>
    <col customWidth="1" min="6" max="7" width="13.67"/>
    <col customWidth="1" min="8" max="8" width="18.33"/>
    <col customWidth="1" min="9" max="26" width="14.33"/>
  </cols>
  <sheetData>
    <row r="1" ht="15.75" customHeight="1">
      <c r="A1" s="17" t="s">
        <v>33</v>
      </c>
      <c r="B1" s="30"/>
      <c r="C1" s="60"/>
      <c r="D1" s="61">
        <f>SUM(D2:D7)</f>
        <v>2248</v>
      </c>
      <c r="E1" s="23"/>
      <c r="F1" s="23"/>
      <c r="G1" s="23"/>
      <c r="H1" s="23"/>
    </row>
    <row r="2" ht="15.75" customHeight="1">
      <c r="A2" s="62" t="s">
        <v>34</v>
      </c>
      <c r="B2" s="63">
        <v>1.0</v>
      </c>
      <c r="C2" s="41">
        <v>348.0</v>
      </c>
      <c r="D2" s="16">
        <f t="shared" ref="D2:D4" si="1">B2*C2</f>
        <v>348</v>
      </c>
      <c r="E2" s="23"/>
      <c r="F2" s="64"/>
      <c r="G2" s="23"/>
      <c r="H2" s="23"/>
    </row>
    <row r="3" ht="15.75" customHeight="1">
      <c r="A3" s="62" t="s">
        <v>35</v>
      </c>
      <c r="B3" s="63">
        <v>1.0</v>
      </c>
      <c r="C3" s="41">
        <v>300.0</v>
      </c>
      <c r="D3" s="16">
        <f t="shared" si="1"/>
        <v>300</v>
      </c>
      <c r="E3" s="23"/>
      <c r="F3" s="23"/>
      <c r="G3" s="23"/>
      <c r="H3" s="23"/>
    </row>
    <row r="4" ht="15.75" customHeight="1">
      <c r="A4" s="62" t="s">
        <v>36</v>
      </c>
      <c r="B4" s="63">
        <v>1.0</v>
      </c>
      <c r="C4" s="41">
        <v>300.0</v>
      </c>
      <c r="D4" s="16">
        <f t="shared" si="1"/>
        <v>300</v>
      </c>
      <c r="E4" s="23"/>
      <c r="F4" s="23"/>
      <c r="G4" s="23"/>
      <c r="H4" s="23"/>
    </row>
    <row r="5" ht="15.75" customHeight="1">
      <c r="A5" s="62" t="s">
        <v>37</v>
      </c>
      <c r="B5" s="63">
        <v>1.0</v>
      </c>
      <c r="C5" s="41">
        <v>500.0</v>
      </c>
      <c r="D5" s="16">
        <v>300.0</v>
      </c>
      <c r="E5" s="23"/>
      <c r="F5" s="23"/>
      <c r="G5" s="23"/>
      <c r="H5" s="23"/>
    </row>
    <row r="6" ht="15.75" customHeight="1">
      <c r="A6" s="62" t="s">
        <v>38</v>
      </c>
      <c r="B6" s="63">
        <v>1.0</v>
      </c>
      <c r="C6" s="41">
        <v>500.0</v>
      </c>
      <c r="D6" s="16">
        <f t="shared" ref="D6:D7" si="2">B6*C6</f>
        <v>500</v>
      </c>
      <c r="E6" s="23"/>
      <c r="F6" s="23"/>
      <c r="G6" s="23"/>
      <c r="H6" s="23"/>
    </row>
    <row r="7" ht="15.75" customHeight="1">
      <c r="A7" s="62" t="s">
        <v>39</v>
      </c>
      <c r="B7" s="63">
        <v>1.0</v>
      </c>
      <c r="C7" s="41">
        <v>500.0</v>
      </c>
      <c r="D7" s="16">
        <f t="shared" si="2"/>
        <v>500</v>
      </c>
      <c r="E7" s="23"/>
      <c r="F7" s="23"/>
      <c r="G7" s="23"/>
      <c r="H7" s="23"/>
    </row>
    <row r="8" ht="15.75" customHeight="1">
      <c r="A8" s="65" t="s">
        <v>40</v>
      </c>
      <c r="B8" s="30"/>
      <c r="C8" s="60"/>
      <c r="D8" s="34">
        <f>SUM(D9:D14)</f>
        <v>6700</v>
      </c>
      <c r="E8" s="23"/>
      <c r="F8" s="23"/>
      <c r="G8" s="23"/>
      <c r="H8" s="23"/>
    </row>
    <row r="9" ht="15.75" customHeight="1">
      <c r="A9" s="62" t="s">
        <v>41</v>
      </c>
      <c r="B9" s="63">
        <v>1.0</v>
      </c>
      <c r="C9" s="41">
        <v>180.0</v>
      </c>
      <c r="D9" s="16">
        <f t="shared" ref="D9:D14" si="3">B9*C9</f>
        <v>180</v>
      </c>
      <c r="E9" s="23"/>
      <c r="F9" s="23"/>
      <c r="G9" s="23"/>
      <c r="H9" s="23"/>
    </row>
    <row r="10" ht="15.75" customHeight="1">
      <c r="A10" s="62" t="s">
        <v>42</v>
      </c>
      <c r="B10" s="63">
        <v>1.0</v>
      </c>
      <c r="C10" s="41">
        <v>4700.0</v>
      </c>
      <c r="D10" s="16">
        <f t="shared" si="3"/>
        <v>4700</v>
      </c>
      <c r="E10" s="23"/>
      <c r="F10" s="23"/>
      <c r="G10" s="23"/>
      <c r="H10" s="23"/>
    </row>
    <row r="11" ht="15.75" customHeight="1">
      <c r="A11" s="62" t="s">
        <v>43</v>
      </c>
      <c r="B11" s="63">
        <v>1.0</v>
      </c>
      <c r="C11" s="41">
        <v>600.0</v>
      </c>
      <c r="D11" s="16">
        <f t="shared" si="3"/>
        <v>600</v>
      </c>
      <c r="E11" s="23"/>
      <c r="F11" s="23"/>
      <c r="G11" s="23"/>
      <c r="H11" s="23"/>
    </row>
    <row r="12" ht="15.75" customHeight="1">
      <c r="A12" s="62" t="s">
        <v>44</v>
      </c>
      <c r="B12" s="63">
        <v>1.0</v>
      </c>
      <c r="C12" s="41">
        <v>500.0</v>
      </c>
      <c r="D12" s="16">
        <f t="shared" si="3"/>
        <v>500</v>
      </c>
      <c r="E12" s="23"/>
      <c r="F12" s="23"/>
      <c r="G12" s="23"/>
      <c r="H12" s="23"/>
    </row>
    <row r="13" ht="15.75" customHeight="1">
      <c r="A13" s="62" t="s">
        <v>45</v>
      </c>
      <c r="B13" s="63">
        <v>1.0</v>
      </c>
      <c r="C13" s="41">
        <v>120.0</v>
      </c>
      <c r="D13" s="16">
        <f t="shared" si="3"/>
        <v>120</v>
      </c>
      <c r="E13" s="23"/>
      <c r="F13" s="23"/>
      <c r="G13" s="23"/>
      <c r="H13" s="23"/>
    </row>
    <row r="14" ht="15.75" customHeight="1">
      <c r="A14" s="62" t="s">
        <v>46</v>
      </c>
      <c r="B14" s="63">
        <v>2.0</v>
      </c>
      <c r="C14" s="41">
        <v>300.0</v>
      </c>
      <c r="D14" s="16">
        <f t="shared" si="3"/>
        <v>600</v>
      </c>
      <c r="E14" s="23"/>
      <c r="F14" s="23"/>
      <c r="G14" s="23"/>
      <c r="H14" s="23"/>
    </row>
    <row r="15" ht="15.75" customHeight="1">
      <c r="A15" s="65" t="s">
        <v>47</v>
      </c>
      <c r="B15" s="30"/>
      <c r="C15" s="60"/>
      <c r="D15" s="34">
        <f>SUM(D16:D22)</f>
        <v>4407</v>
      </c>
      <c r="E15" s="23"/>
      <c r="F15" s="23"/>
      <c r="G15" s="23"/>
      <c r="H15" s="23"/>
    </row>
    <row r="16" ht="15.75" customHeight="1">
      <c r="A16" s="66" t="s">
        <v>48</v>
      </c>
      <c r="B16" s="39">
        <v>1.0</v>
      </c>
      <c r="C16" s="67">
        <v>1557.0</v>
      </c>
      <c r="D16" s="40">
        <f t="shared" ref="D16:D22" si="4">B16*C16</f>
        <v>1557</v>
      </c>
      <c r="E16" s="23"/>
      <c r="F16" s="23"/>
      <c r="G16" s="23"/>
      <c r="H16" s="23"/>
    </row>
    <row r="17" ht="15.75" customHeight="1">
      <c r="A17" s="66" t="s">
        <v>49</v>
      </c>
      <c r="B17" s="39">
        <v>1.0</v>
      </c>
      <c r="C17" s="67">
        <v>1000.0</v>
      </c>
      <c r="D17" s="40">
        <f t="shared" si="4"/>
        <v>1000</v>
      </c>
      <c r="E17" s="23"/>
      <c r="F17" s="23"/>
      <c r="G17" s="23"/>
      <c r="H17" s="23"/>
    </row>
    <row r="18" ht="15.75" customHeight="1">
      <c r="A18" s="66" t="s">
        <v>50</v>
      </c>
      <c r="B18" s="39">
        <v>1.0</v>
      </c>
      <c r="C18" s="67">
        <v>1000.0</v>
      </c>
      <c r="D18" s="40">
        <f t="shared" si="4"/>
        <v>1000</v>
      </c>
      <c r="E18" s="23"/>
      <c r="F18" s="23"/>
      <c r="G18" s="23"/>
      <c r="H18" s="23"/>
    </row>
    <row r="19" ht="15.75" customHeight="1">
      <c r="A19" s="62" t="s">
        <v>51</v>
      </c>
      <c r="B19" s="63">
        <v>1.0</v>
      </c>
      <c r="C19" s="41">
        <v>50.0</v>
      </c>
      <c r="D19" s="16">
        <f t="shared" si="4"/>
        <v>50</v>
      </c>
      <c r="E19" s="23"/>
      <c r="F19" s="23"/>
      <c r="G19" s="23"/>
      <c r="H19" s="23"/>
    </row>
    <row r="20" ht="15.75" customHeight="1">
      <c r="A20" s="62" t="s">
        <v>52</v>
      </c>
      <c r="B20" s="63">
        <v>1.0</v>
      </c>
      <c r="C20" s="41">
        <v>100.0</v>
      </c>
      <c r="D20" s="16">
        <f t="shared" si="4"/>
        <v>100</v>
      </c>
      <c r="E20" s="23"/>
      <c r="F20" s="23"/>
      <c r="G20" s="23"/>
      <c r="H20" s="23"/>
    </row>
    <row r="21" ht="15.75" customHeight="1">
      <c r="A21" s="62" t="s">
        <v>53</v>
      </c>
      <c r="B21" s="63">
        <v>3.0</v>
      </c>
      <c r="C21" s="41">
        <v>100.0</v>
      </c>
      <c r="D21" s="16">
        <f t="shared" si="4"/>
        <v>300</v>
      </c>
      <c r="E21" s="23"/>
      <c r="F21" s="23"/>
      <c r="G21" s="23"/>
      <c r="H21" s="23"/>
    </row>
    <row r="22" ht="15.75" customHeight="1">
      <c r="A22" s="62" t="s">
        <v>54</v>
      </c>
      <c r="B22" s="63">
        <v>1.0</v>
      </c>
      <c r="C22" s="41">
        <v>400.0</v>
      </c>
      <c r="D22" s="16">
        <f t="shared" si="4"/>
        <v>400</v>
      </c>
      <c r="E22" s="23"/>
      <c r="F22" s="23"/>
      <c r="G22" s="23"/>
      <c r="H22" s="23"/>
    </row>
    <row r="23" ht="15.75" customHeight="1">
      <c r="A23" s="17" t="s">
        <v>14</v>
      </c>
      <c r="B23" s="17"/>
      <c r="C23" s="68"/>
      <c r="D23" s="61">
        <f>SUM(D24:D25)</f>
        <v>11107</v>
      </c>
      <c r="E23" s="23"/>
      <c r="F23" s="23"/>
      <c r="G23" s="23"/>
      <c r="H23" s="23"/>
    </row>
    <row r="24" ht="15.75" customHeight="1">
      <c r="A24" s="62" t="s">
        <v>40</v>
      </c>
      <c r="B24" s="23"/>
      <c r="C24" s="23"/>
      <c r="D24" s="16">
        <f>D8</f>
        <v>6700</v>
      </c>
    </row>
    <row r="25" ht="15.75" customHeight="1">
      <c r="A25" s="62" t="s">
        <v>47</v>
      </c>
      <c r="B25" s="23"/>
      <c r="C25" s="23"/>
      <c r="D25" s="16">
        <f>D15</f>
        <v>4407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17" t="s">
        <v>55</v>
      </c>
      <c r="B1" s="17" t="s">
        <v>56</v>
      </c>
      <c r="C1" s="69" t="s">
        <v>57</v>
      </c>
      <c r="D1" s="17" t="s">
        <v>58</v>
      </c>
      <c r="E1" s="69" t="s">
        <v>59</v>
      </c>
      <c r="F1" s="69" t="s">
        <v>60</v>
      </c>
      <c r="G1" s="69" t="s">
        <v>61</v>
      </c>
      <c r="H1" s="69" t="s">
        <v>62</v>
      </c>
    </row>
    <row r="2" ht="15.75" customHeight="1">
      <c r="A2" s="23" t="s">
        <v>63</v>
      </c>
      <c r="B2" s="23"/>
      <c r="C2" s="41">
        <v>600.0</v>
      </c>
      <c r="D2" s="23">
        <v>1.0</v>
      </c>
      <c r="E2" s="41">
        <f t="shared" ref="E2:E16" si="1">C2*D2</f>
        <v>600</v>
      </c>
      <c r="F2" s="70">
        <f>E2*Calculador!B$3</f>
        <v>0</v>
      </c>
      <c r="G2" s="71">
        <f>E2*Calculador!B$4</f>
        <v>0</v>
      </c>
      <c r="H2" s="23" t="s">
        <v>64</v>
      </c>
    </row>
    <row r="3" ht="15.75" customHeight="1">
      <c r="A3" s="23" t="s">
        <v>34</v>
      </c>
      <c r="B3" s="23" t="s">
        <v>65</v>
      </c>
      <c r="C3" s="41">
        <v>300.0</v>
      </c>
      <c r="D3" s="23">
        <v>1.0</v>
      </c>
      <c r="E3" s="41">
        <f t="shared" si="1"/>
        <v>300</v>
      </c>
      <c r="F3" s="72">
        <f>E3*Calculador!B$3</f>
        <v>0</v>
      </c>
      <c r="G3" s="71">
        <f>E3*Calculador!B$4</f>
        <v>0</v>
      </c>
      <c r="H3" s="23"/>
    </row>
    <row r="4" ht="15.75" customHeight="1">
      <c r="A4" s="23" t="s">
        <v>66</v>
      </c>
      <c r="B4" s="23"/>
      <c r="C4" s="41">
        <v>500.0</v>
      </c>
      <c r="D4" s="23">
        <v>1.0</v>
      </c>
      <c r="E4" s="41">
        <f t="shared" si="1"/>
        <v>500</v>
      </c>
      <c r="F4" s="72">
        <f>E4*Calculador!B$3</f>
        <v>0</v>
      </c>
      <c r="G4" s="71">
        <f>E4*Calculador!B$4</f>
        <v>0</v>
      </c>
      <c r="H4" s="23"/>
    </row>
    <row r="5" ht="15.75" customHeight="1">
      <c r="A5" s="23" t="s">
        <v>41</v>
      </c>
      <c r="B5" s="23"/>
      <c r="C5" s="41">
        <v>200.0</v>
      </c>
      <c r="D5" s="23">
        <v>1.0</v>
      </c>
      <c r="E5" s="41">
        <f t="shared" si="1"/>
        <v>200</v>
      </c>
      <c r="F5" s="72">
        <f>E5*Calculador!B$3</f>
        <v>0</v>
      </c>
      <c r="G5" s="71">
        <f>E5*Calculador!B$4</f>
        <v>0</v>
      </c>
      <c r="H5" s="23"/>
    </row>
    <row r="6" ht="15.75" customHeight="1">
      <c r="A6" s="23" t="s">
        <v>67</v>
      </c>
      <c r="B6" s="23"/>
      <c r="C6" s="41">
        <v>500.0</v>
      </c>
      <c r="D6" s="23">
        <v>1.0</v>
      </c>
      <c r="E6" s="41">
        <f t="shared" si="1"/>
        <v>500</v>
      </c>
      <c r="F6" s="72">
        <f>E6*Calculador!B$3</f>
        <v>0</v>
      </c>
      <c r="G6" s="71">
        <f>E6*Calculador!B$4</f>
        <v>0</v>
      </c>
      <c r="H6" s="23"/>
    </row>
    <row r="7" ht="15.75" customHeight="1">
      <c r="A7" s="23" t="s">
        <v>68</v>
      </c>
      <c r="B7" s="23"/>
      <c r="C7" s="41">
        <v>200.0</v>
      </c>
      <c r="D7" s="23">
        <v>1.0</v>
      </c>
      <c r="E7" s="41">
        <f t="shared" si="1"/>
        <v>200</v>
      </c>
      <c r="F7" s="72">
        <f>E7*Calculador!B$3</f>
        <v>0</v>
      </c>
      <c r="G7" s="71">
        <f>E7*Calculador!B$4</f>
        <v>0</v>
      </c>
      <c r="H7" s="23"/>
    </row>
    <row r="8" ht="15.75" customHeight="1">
      <c r="A8" s="23" t="s">
        <v>69</v>
      </c>
      <c r="B8" s="23"/>
      <c r="C8" s="41">
        <v>300.0</v>
      </c>
      <c r="D8" s="23">
        <v>1.0</v>
      </c>
      <c r="E8" s="41">
        <f t="shared" si="1"/>
        <v>300</v>
      </c>
      <c r="F8" s="72">
        <f>E8*Calculador!B$3</f>
        <v>0</v>
      </c>
      <c r="G8" s="71">
        <f>E8*Calculador!B$4</f>
        <v>0</v>
      </c>
      <c r="H8" s="23"/>
    </row>
    <row r="9" ht="15.75" customHeight="1">
      <c r="A9" s="23" t="s">
        <v>70</v>
      </c>
      <c r="B9" s="23" t="s">
        <v>71</v>
      </c>
      <c r="C9" s="41">
        <v>600.0</v>
      </c>
      <c r="D9" s="23">
        <v>2.0</v>
      </c>
      <c r="E9" s="41">
        <f t="shared" si="1"/>
        <v>1200</v>
      </c>
      <c r="F9" s="72">
        <f>E9*Calculador!B$3</f>
        <v>0</v>
      </c>
      <c r="G9" s="71">
        <f>E9*Calculador!B$4</f>
        <v>0</v>
      </c>
      <c r="H9" s="23"/>
    </row>
    <row r="10" ht="15.75" customHeight="1">
      <c r="A10" s="23" t="s">
        <v>72</v>
      </c>
      <c r="B10" s="23"/>
      <c r="C10" s="41">
        <v>100.0</v>
      </c>
      <c r="D10" s="23">
        <v>1.0</v>
      </c>
      <c r="E10" s="41">
        <f t="shared" si="1"/>
        <v>100</v>
      </c>
      <c r="F10" s="72">
        <f>E10*Calculador!B$3</f>
        <v>0</v>
      </c>
      <c r="G10" s="71">
        <f>E10*Calculador!B$4</f>
        <v>0</v>
      </c>
      <c r="H10" s="23"/>
    </row>
    <row r="11" ht="15.75" customHeight="1">
      <c r="A11" s="23"/>
      <c r="B11" s="23"/>
      <c r="C11" s="41"/>
      <c r="D11" s="23"/>
      <c r="E11" s="41">
        <f t="shared" si="1"/>
        <v>0</v>
      </c>
      <c r="F11" s="72">
        <f>E11*Calculador!B$3</f>
        <v>0</v>
      </c>
      <c r="G11" s="71">
        <f>E11*Calculador!B$4</f>
        <v>0</v>
      </c>
      <c r="H11" s="23"/>
    </row>
    <row r="12" ht="15.75" customHeight="1">
      <c r="A12" s="23"/>
      <c r="B12" s="23"/>
      <c r="C12" s="41"/>
      <c r="D12" s="23"/>
      <c r="E12" s="41">
        <f t="shared" si="1"/>
        <v>0</v>
      </c>
      <c r="F12" s="72">
        <f>E12*Calculador!B$3</f>
        <v>0</v>
      </c>
      <c r="G12" s="71">
        <f>E12*Calculador!B$4</f>
        <v>0</v>
      </c>
      <c r="H12" s="23"/>
    </row>
    <row r="13" ht="15.75" customHeight="1">
      <c r="A13" s="23"/>
      <c r="B13" s="23"/>
      <c r="C13" s="41"/>
      <c r="D13" s="23"/>
      <c r="E13" s="41">
        <f t="shared" si="1"/>
        <v>0</v>
      </c>
      <c r="F13" s="72">
        <f>E13*Calculador!B$3</f>
        <v>0</v>
      </c>
      <c r="G13" s="71">
        <f>E13*Calculador!B$4</f>
        <v>0</v>
      </c>
      <c r="H13" s="23"/>
    </row>
    <row r="14" ht="15.75" customHeight="1">
      <c r="A14" s="23"/>
      <c r="B14" s="23"/>
      <c r="C14" s="41"/>
      <c r="D14" s="23"/>
      <c r="E14" s="41">
        <f t="shared" si="1"/>
        <v>0</v>
      </c>
      <c r="F14" s="72">
        <f>E14*Calculador!B$3</f>
        <v>0</v>
      </c>
      <c r="G14" s="71">
        <f>E14*Calculador!B$4</f>
        <v>0</v>
      </c>
      <c r="H14" s="23"/>
    </row>
    <row r="15" ht="15.75" customHeight="1">
      <c r="A15" s="23"/>
      <c r="B15" s="23"/>
      <c r="C15" s="41"/>
      <c r="D15" s="23"/>
      <c r="E15" s="41">
        <f t="shared" si="1"/>
        <v>0</v>
      </c>
      <c r="F15" s="72">
        <f>E15*Calculador!B$3</f>
        <v>0</v>
      </c>
      <c r="G15" s="71">
        <f>E15*Calculador!B$4</f>
        <v>0</v>
      </c>
      <c r="H15" s="23"/>
    </row>
    <row r="16" ht="15.75" customHeight="1">
      <c r="A16" s="23" t="s">
        <v>73</v>
      </c>
      <c r="B16" s="23"/>
      <c r="C16" s="41">
        <v>500.0</v>
      </c>
      <c r="D16" s="23">
        <v>1.0</v>
      </c>
      <c r="E16" s="41">
        <f t="shared" si="1"/>
        <v>500</v>
      </c>
      <c r="F16" s="72">
        <f>E16*Calculador!B$3</f>
        <v>0</v>
      </c>
      <c r="G16" s="71">
        <f>E16*Calculador!B$4</f>
        <v>0</v>
      </c>
      <c r="H16" s="23"/>
    </row>
    <row r="17" ht="15.75" customHeight="1">
      <c r="A17" s="17" t="s">
        <v>74</v>
      </c>
      <c r="B17" s="17"/>
      <c r="C17" s="17"/>
      <c r="D17" s="17"/>
      <c r="E17" s="73">
        <f t="shared" ref="E17:G17" si="2">SUM(E2:E16)</f>
        <v>4400</v>
      </c>
      <c r="F17" s="74">
        <f t="shared" si="2"/>
        <v>0</v>
      </c>
      <c r="G17" s="75">
        <f t="shared" si="2"/>
        <v>0</v>
      </c>
      <c r="H17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17" t="s">
        <v>55</v>
      </c>
      <c r="B1" s="17" t="s">
        <v>56</v>
      </c>
      <c r="C1" s="69" t="s">
        <v>57</v>
      </c>
      <c r="D1" s="17" t="s">
        <v>58</v>
      </c>
      <c r="E1" s="69" t="s">
        <v>59</v>
      </c>
      <c r="F1" s="69" t="s">
        <v>60</v>
      </c>
      <c r="G1" s="69" t="s">
        <v>61</v>
      </c>
      <c r="H1" s="69" t="s">
        <v>62</v>
      </c>
    </row>
    <row r="2" ht="15.75" customHeight="1">
      <c r="A2" s="23" t="s">
        <v>75</v>
      </c>
      <c r="B2" s="23"/>
      <c r="C2" s="41">
        <v>32.0</v>
      </c>
      <c r="D2" s="23">
        <v>1.0</v>
      </c>
      <c r="E2" s="41">
        <f t="shared" ref="E2:E16" si="1">C2*D2</f>
        <v>32</v>
      </c>
      <c r="F2" s="41">
        <f>E2*Calculador!B$3</f>
        <v>0</v>
      </c>
      <c r="G2" s="71">
        <f>E2*Calculador!B$4</f>
        <v>0</v>
      </c>
      <c r="H2" s="23"/>
    </row>
    <row r="3" ht="15.75" customHeight="1">
      <c r="A3" s="23" t="s">
        <v>76</v>
      </c>
      <c r="B3" s="23"/>
      <c r="C3" s="41">
        <v>28.0</v>
      </c>
      <c r="D3" s="23">
        <v>1.0</v>
      </c>
      <c r="E3" s="41">
        <f t="shared" si="1"/>
        <v>28</v>
      </c>
      <c r="F3" s="72">
        <f>E3*Calculador!B$3</f>
        <v>0</v>
      </c>
      <c r="G3" s="71">
        <f>E3*Calculador!B$4</f>
        <v>0</v>
      </c>
      <c r="H3" s="23"/>
    </row>
    <row r="4" ht="15.75" customHeight="1">
      <c r="A4" s="23" t="s">
        <v>77</v>
      </c>
      <c r="B4" s="23"/>
      <c r="C4" s="41">
        <v>39.0</v>
      </c>
      <c r="D4" s="23">
        <v>1.0</v>
      </c>
      <c r="E4" s="41">
        <f t="shared" si="1"/>
        <v>39</v>
      </c>
      <c r="F4" s="72">
        <f>E4*Calculador!B$3</f>
        <v>0</v>
      </c>
      <c r="G4" s="71">
        <f>E4*Calculador!B$4</f>
        <v>0</v>
      </c>
      <c r="H4" s="23"/>
    </row>
    <row r="5" ht="15.75" customHeight="1">
      <c r="A5" s="23" t="s">
        <v>78</v>
      </c>
      <c r="B5" s="23"/>
      <c r="C5" s="41">
        <v>12.0</v>
      </c>
      <c r="D5" s="23">
        <v>1.0</v>
      </c>
      <c r="E5" s="41">
        <f t="shared" si="1"/>
        <v>12</v>
      </c>
      <c r="F5" s="72">
        <f>E5*Calculador!B$3</f>
        <v>0</v>
      </c>
      <c r="G5" s="71">
        <f>E5*Calculador!B$4</f>
        <v>0</v>
      </c>
      <c r="H5" s="23"/>
    </row>
    <row r="6" ht="15.75" customHeight="1">
      <c r="A6" s="23" t="s">
        <v>79</v>
      </c>
      <c r="B6" s="23"/>
      <c r="C6" s="41">
        <v>15.0</v>
      </c>
      <c r="D6" s="23">
        <v>1.0</v>
      </c>
      <c r="E6" s="41">
        <f t="shared" si="1"/>
        <v>15</v>
      </c>
      <c r="F6" s="72">
        <f>E6*Calculador!B$3</f>
        <v>0</v>
      </c>
      <c r="G6" s="71">
        <f>E6*Calculador!B$4</f>
        <v>0</v>
      </c>
      <c r="H6" s="23"/>
    </row>
    <row r="7" ht="15.75" customHeight="1">
      <c r="A7" s="23" t="s">
        <v>80</v>
      </c>
      <c r="B7" s="23"/>
      <c r="C7" s="41">
        <v>10.0</v>
      </c>
      <c r="D7" s="23">
        <v>1.0</v>
      </c>
      <c r="E7" s="41">
        <f t="shared" si="1"/>
        <v>10</v>
      </c>
      <c r="F7" s="72">
        <f>E7*Calculador!B$3</f>
        <v>0</v>
      </c>
      <c r="G7" s="71">
        <f>E7*Calculador!B$4</f>
        <v>0</v>
      </c>
      <c r="H7" s="23"/>
    </row>
    <row r="8" ht="15.75" customHeight="1">
      <c r="A8" s="23" t="s">
        <v>81</v>
      </c>
      <c r="B8" s="23"/>
      <c r="C8" s="41">
        <v>15.0</v>
      </c>
      <c r="D8" s="23">
        <v>1.0</v>
      </c>
      <c r="E8" s="41">
        <f t="shared" si="1"/>
        <v>15</v>
      </c>
      <c r="F8" s="72">
        <f>E8*Calculador!B$3</f>
        <v>0</v>
      </c>
      <c r="G8" s="71">
        <f>E8*Calculador!B$4</f>
        <v>0</v>
      </c>
      <c r="H8" s="23"/>
    </row>
    <row r="9" ht="15.75" customHeight="1">
      <c r="A9" s="23"/>
      <c r="B9" s="23"/>
      <c r="C9" s="41"/>
      <c r="D9" s="23"/>
      <c r="E9" s="41">
        <f t="shared" si="1"/>
        <v>0</v>
      </c>
      <c r="F9" s="72">
        <f>E9*Calculador!B$3</f>
        <v>0</v>
      </c>
      <c r="G9" s="71">
        <f>E9*Calculador!B$4</f>
        <v>0</v>
      </c>
      <c r="H9" s="23"/>
    </row>
    <row r="10" ht="15.75" customHeight="1">
      <c r="A10" s="23"/>
      <c r="B10" s="23"/>
      <c r="C10" s="41"/>
      <c r="D10" s="23"/>
      <c r="E10" s="41">
        <f t="shared" si="1"/>
        <v>0</v>
      </c>
      <c r="F10" s="72">
        <f>E10*Calculador!B$3</f>
        <v>0</v>
      </c>
      <c r="G10" s="71">
        <f>E10*Calculador!B$4</f>
        <v>0</v>
      </c>
      <c r="H10" s="23"/>
    </row>
    <row r="11" ht="15.75" customHeight="1">
      <c r="A11" s="23" t="s">
        <v>82</v>
      </c>
      <c r="B11" s="23"/>
      <c r="C11" s="41">
        <v>10.0</v>
      </c>
      <c r="D11" s="23">
        <v>0.0</v>
      </c>
      <c r="E11" s="41">
        <f t="shared" si="1"/>
        <v>0</v>
      </c>
      <c r="F11" s="72">
        <f>E11*Calculador!B$3</f>
        <v>0</v>
      </c>
      <c r="G11" s="71">
        <f>E11*Calculador!B$4</f>
        <v>0</v>
      </c>
      <c r="H11" s="23" t="s">
        <v>83</v>
      </c>
    </row>
    <row r="12" ht="15.75" customHeight="1">
      <c r="A12" s="23" t="s">
        <v>76</v>
      </c>
      <c r="B12" s="23"/>
      <c r="C12" s="41">
        <v>12.0</v>
      </c>
      <c r="D12" s="23">
        <v>0.0</v>
      </c>
      <c r="E12" s="41">
        <f t="shared" si="1"/>
        <v>0</v>
      </c>
      <c r="F12" s="72">
        <f>E12*Calculador!B$3</f>
        <v>0</v>
      </c>
      <c r="G12" s="71">
        <f>E12*Calculador!B$4</f>
        <v>0</v>
      </c>
      <c r="H12" s="23" t="s">
        <v>83</v>
      </c>
    </row>
    <row r="13" ht="15.75" customHeight="1">
      <c r="A13" s="23" t="s">
        <v>77</v>
      </c>
      <c r="B13" s="23"/>
      <c r="C13" s="41">
        <v>17.0</v>
      </c>
      <c r="D13" s="23">
        <v>0.0</v>
      </c>
      <c r="E13" s="41">
        <f t="shared" si="1"/>
        <v>0</v>
      </c>
      <c r="F13" s="72">
        <f>E13*Calculador!B$3</f>
        <v>0</v>
      </c>
      <c r="G13" s="71">
        <f>E13*Calculador!B$4</f>
        <v>0</v>
      </c>
      <c r="H13" s="23" t="s">
        <v>83</v>
      </c>
    </row>
    <row r="14" ht="15.75" customHeight="1">
      <c r="A14" s="23" t="s">
        <v>84</v>
      </c>
      <c r="B14" s="23"/>
      <c r="C14" s="41">
        <v>4.0</v>
      </c>
      <c r="D14" s="23">
        <v>0.0</v>
      </c>
      <c r="E14" s="41">
        <f t="shared" si="1"/>
        <v>0</v>
      </c>
      <c r="F14" s="72">
        <f>E14*Calculador!B$3</f>
        <v>0</v>
      </c>
      <c r="G14" s="71">
        <f>E14*Calculador!B$4</f>
        <v>0</v>
      </c>
      <c r="H14" s="23" t="s">
        <v>83</v>
      </c>
    </row>
    <row r="15" ht="15.75" customHeight="1">
      <c r="A15" s="23"/>
      <c r="B15" s="23"/>
      <c r="C15" s="41"/>
      <c r="D15" s="23"/>
      <c r="E15" s="41">
        <f t="shared" si="1"/>
        <v>0</v>
      </c>
      <c r="F15" s="72">
        <f>E15*Calculador!B$3</f>
        <v>0</v>
      </c>
      <c r="G15" s="71">
        <f>E15*Calculador!B$4</f>
        <v>0</v>
      </c>
      <c r="H15" s="23"/>
    </row>
    <row r="16" ht="15.75" customHeight="1">
      <c r="A16" s="23" t="s">
        <v>73</v>
      </c>
      <c r="B16" s="23"/>
      <c r="C16" s="41">
        <v>500.0</v>
      </c>
      <c r="D16" s="23">
        <v>1.0</v>
      </c>
      <c r="E16" s="41">
        <f t="shared" si="1"/>
        <v>500</v>
      </c>
      <c r="F16" s="72">
        <f>E16*Calculador!B$3</f>
        <v>0</v>
      </c>
      <c r="G16" s="71">
        <f>E16*Calculador!B$4</f>
        <v>0</v>
      </c>
      <c r="H16" s="23"/>
    </row>
    <row r="17" ht="15.75" customHeight="1">
      <c r="A17" s="17" t="s">
        <v>74</v>
      </c>
      <c r="B17" s="17"/>
      <c r="C17" s="17"/>
      <c r="D17" s="17"/>
      <c r="E17" s="73">
        <f t="shared" ref="E17:G17" si="2">SUM(E2:E16)</f>
        <v>651</v>
      </c>
      <c r="F17" s="74">
        <f t="shared" si="2"/>
        <v>0</v>
      </c>
      <c r="G17" s="75">
        <f t="shared" si="2"/>
        <v>0</v>
      </c>
      <c r="H17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17" t="s">
        <v>55</v>
      </c>
      <c r="B1" s="17" t="s">
        <v>56</v>
      </c>
      <c r="C1" s="69" t="s">
        <v>57</v>
      </c>
      <c r="D1" s="17" t="s">
        <v>58</v>
      </c>
      <c r="E1" s="69" t="s">
        <v>59</v>
      </c>
      <c r="F1" s="69" t="s">
        <v>60</v>
      </c>
      <c r="G1" s="69" t="s">
        <v>61</v>
      </c>
      <c r="H1" s="69" t="s">
        <v>62</v>
      </c>
    </row>
    <row r="2" ht="15.75" customHeight="1">
      <c r="A2" s="23" t="s">
        <v>34</v>
      </c>
      <c r="B2" s="23"/>
      <c r="C2" s="41">
        <f>'Totem RFID'!C3</f>
        <v>300</v>
      </c>
      <c r="D2" s="23">
        <v>1.0</v>
      </c>
      <c r="E2" s="41">
        <f t="shared" ref="E2:E16" si="1">C2*D2</f>
        <v>300</v>
      </c>
      <c r="F2" s="41">
        <f>E2*Calculador!B$3</f>
        <v>0</v>
      </c>
      <c r="G2" s="71">
        <f>E2*Calculador!B$4</f>
        <v>0</v>
      </c>
      <c r="H2" s="23" t="s">
        <v>85</v>
      </c>
    </row>
    <row r="3" ht="15.75" customHeight="1">
      <c r="A3" s="23" t="s">
        <v>86</v>
      </c>
      <c r="B3" s="23"/>
      <c r="C3" s="41">
        <v>200.0</v>
      </c>
      <c r="D3" s="23">
        <v>1.0</v>
      </c>
      <c r="E3" s="41">
        <f t="shared" si="1"/>
        <v>200</v>
      </c>
      <c r="F3" s="41">
        <f>E3*Calculador!B$3</f>
        <v>0</v>
      </c>
      <c r="G3" s="71">
        <f>E3*Calculador!B$4</f>
        <v>0</v>
      </c>
      <c r="H3" s="23"/>
    </row>
    <row r="4" ht="15.75" customHeight="1">
      <c r="A4" s="23" t="s">
        <v>87</v>
      </c>
      <c r="B4" s="23"/>
      <c r="C4" s="41">
        <v>2000.0</v>
      </c>
      <c r="D4" s="23">
        <v>1.0</v>
      </c>
      <c r="E4" s="41">
        <f t="shared" si="1"/>
        <v>2000</v>
      </c>
      <c r="F4" s="72">
        <f>E4*Calculador!B$3</f>
        <v>0</v>
      </c>
      <c r="G4" s="71">
        <f>E4*Calculador!B$4</f>
        <v>0</v>
      </c>
      <c r="H4" s="23"/>
    </row>
    <row r="5" ht="15.75" customHeight="1">
      <c r="A5" s="23" t="s">
        <v>38</v>
      </c>
      <c r="B5" s="23"/>
      <c r="C5" s="41">
        <v>500.0</v>
      </c>
      <c r="D5" s="23">
        <v>1.0</v>
      </c>
      <c r="E5" s="41">
        <f t="shared" si="1"/>
        <v>500</v>
      </c>
      <c r="F5" s="72">
        <f>E5*Calculador!B$3</f>
        <v>0</v>
      </c>
      <c r="G5" s="71">
        <f>E5*Calculador!B$4</f>
        <v>0</v>
      </c>
      <c r="H5" s="23"/>
    </row>
    <row r="6" ht="15.75" customHeight="1">
      <c r="A6" s="23" t="s">
        <v>67</v>
      </c>
      <c r="B6" s="23"/>
      <c r="C6" s="41">
        <v>200.0</v>
      </c>
      <c r="D6" s="23">
        <v>1.0</v>
      </c>
      <c r="E6" s="41">
        <f t="shared" si="1"/>
        <v>200</v>
      </c>
      <c r="F6" s="72">
        <f>E6*Calculador!B$3</f>
        <v>0</v>
      </c>
      <c r="G6" s="71">
        <f>E6*Calculador!B$4</f>
        <v>0</v>
      </c>
      <c r="H6" s="23"/>
    </row>
    <row r="7" ht="15.75" customHeight="1">
      <c r="A7" s="23" t="s">
        <v>88</v>
      </c>
      <c r="B7" s="23"/>
      <c r="C7" s="41">
        <v>20.0</v>
      </c>
      <c r="D7" s="23">
        <v>1.0</v>
      </c>
      <c r="E7" s="41">
        <f t="shared" si="1"/>
        <v>20</v>
      </c>
      <c r="F7" s="72">
        <f>E7*Calculador!B$3</f>
        <v>0</v>
      </c>
      <c r="G7" s="71">
        <f>E7*Calculador!B$4</f>
        <v>0</v>
      </c>
      <c r="H7" s="23"/>
    </row>
    <row r="8" ht="15.75" customHeight="1">
      <c r="A8" s="23" t="s">
        <v>69</v>
      </c>
      <c r="B8" s="23"/>
      <c r="C8" s="41">
        <v>200.0</v>
      </c>
      <c r="D8" s="23">
        <v>1.0</v>
      </c>
      <c r="E8" s="41">
        <f t="shared" si="1"/>
        <v>200</v>
      </c>
      <c r="F8" s="72">
        <f>E8*Calculador!B$3</f>
        <v>0</v>
      </c>
      <c r="G8" s="71">
        <f>E8*Calculador!B$4</f>
        <v>0</v>
      </c>
      <c r="H8" s="23"/>
    </row>
    <row r="9" ht="15.75" customHeight="1">
      <c r="A9" s="23"/>
      <c r="B9" s="23"/>
      <c r="C9" s="41"/>
      <c r="D9" s="23"/>
      <c r="E9" s="41">
        <f t="shared" si="1"/>
        <v>0</v>
      </c>
      <c r="F9" s="72">
        <f>E9*Calculador!B$3</f>
        <v>0</v>
      </c>
      <c r="G9" s="71">
        <f>E9*Calculador!B$4</f>
        <v>0</v>
      </c>
      <c r="H9" s="23"/>
    </row>
    <row r="10" ht="15.75" customHeight="1">
      <c r="A10" s="23"/>
      <c r="B10" s="23"/>
      <c r="C10" s="41"/>
      <c r="D10" s="23"/>
      <c r="E10" s="41">
        <f t="shared" si="1"/>
        <v>0</v>
      </c>
      <c r="F10" s="72">
        <f>E10*Calculador!B$3</f>
        <v>0</v>
      </c>
      <c r="G10" s="71">
        <f>E10*Calculador!B$4</f>
        <v>0</v>
      </c>
      <c r="H10" s="23"/>
    </row>
    <row r="11" ht="15.75" customHeight="1">
      <c r="A11" s="23"/>
      <c r="B11" s="23"/>
      <c r="C11" s="41"/>
      <c r="D11" s="23"/>
      <c r="E11" s="41">
        <f t="shared" si="1"/>
        <v>0</v>
      </c>
      <c r="F11" s="72">
        <f>E11*Calculador!B$3</f>
        <v>0</v>
      </c>
      <c r="G11" s="71">
        <f>E11*Calculador!B$4</f>
        <v>0</v>
      </c>
      <c r="H11" s="23"/>
    </row>
    <row r="12" ht="15.75" customHeight="1">
      <c r="A12" s="23"/>
      <c r="B12" s="23"/>
      <c r="C12" s="41"/>
      <c r="D12" s="23"/>
      <c r="E12" s="41">
        <f t="shared" si="1"/>
        <v>0</v>
      </c>
      <c r="F12" s="72">
        <f>E12*Calculador!B$3</f>
        <v>0</v>
      </c>
      <c r="G12" s="71">
        <f>E12*Calculador!B$4</f>
        <v>0</v>
      </c>
      <c r="H12" s="23"/>
    </row>
    <row r="13" ht="15.75" customHeight="1">
      <c r="A13" s="23"/>
      <c r="B13" s="23"/>
      <c r="C13" s="41"/>
      <c r="D13" s="23"/>
      <c r="E13" s="41">
        <f t="shared" si="1"/>
        <v>0</v>
      </c>
      <c r="F13" s="72">
        <f>E13*Calculador!B$3</f>
        <v>0</v>
      </c>
      <c r="G13" s="71">
        <f>E13*Calculador!B$4</f>
        <v>0</v>
      </c>
      <c r="H13" s="23"/>
    </row>
    <row r="14" ht="15.75" customHeight="1">
      <c r="A14" s="23"/>
      <c r="B14" s="23"/>
      <c r="C14" s="41"/>
      <c r="D14" s="23"/>
      <c r="E14" s="41">
        <f t="shared" si="1"/>
        <v>0</v>
      </c>
      <c r="F14" s="72">
        <f>E14*Calculador!B$3</f>
        <v>0</v>
      </c>
      <c r="G14" s="71">
        <f>E14*Calculador!B$4</f>
        <v>0</v>
      </c>
      <c r="H14" s="23"/>
    </row>
    <row r="15" ht="15.75" customHeight="1">
      <c r="A15" s="23"/>
      <c r="B15" s="23"/>
      <c r="C15" s="41"/>
      <c r="D15" s="23"/>
      <c r="E15" s="41">
        <f t="shared" si="1"/>
        <v>0</v>
      </c>
      <c r="F15" s="72">
        <f>E15*Calculador!B$3</f>
        <v>0</v>
      </c>
      <c r="G15" s="71">
        <f>E15*Calculador!B$4</f>
        <v>0</v>
      </c>
      <c r="H15" s="23"/>
    </row>
    <row r="16" ht="15.75" customHeight="1">
      <c r="A16" s="23"/>
      <c r="B16" s="23"/>
      <c r="C16" s="41"/>
      <c r="D16" s="23"/>
      <c r="E16" s="41">
        <f t="shared" si="1"/>
        <v>0</v>
      </c>
      <c r="F16" s="72">
        <f>E16*Calculador!B$3</f>
        <v>0</v>
      </c>
      <c r="G16" s="71">
        <f>E16*Calculador!B$4</f>
        <v>0</v>
      </c>
      <c r="H16" s="23"/>
    </row>
    <row r="17" ht="15.75" customHeight="1">
      <c r="A17" s="23" t="s">
        <v>73</v>
      </c>
      <c r="B17" s="23"/>
      <c r="C17" s="41">
        <v>500.0</v>
      </c>
      <c r="D17" s="23">
        <v>1.0</v>
      </c>
      <c r="E17" s="41">
        <v>500.0</v>
      </c>
      <c r="F17" s="72">
        <f>E17*Calculador!B$3</f>
        <v>0</v>
      </c>
      <c r="G17" s="71">
        <f>E17*Calculador!B$4</f>
        <v>0</v>
      </c>
      <c r="H17" s="23"/>
    </row>
    <row r="18" ht="15.75" customHeight="1">
      <c r="A18" s="17" t="s">
        <v>74</v>
      </c>
      <c r="B18" s="17"/>
      <c r="C18" s="17"/>
      <c r="D18" s="17"/>
      <c r="E18" s="73">
        <f t="shared" ref="E18:G18" si="2">SUM(E2:E17)</f>
        <v>3920</v>
      </c>
      <c r="F18" s="74">
        <f t="shared" si="2"/>
        <v>0</v>
      </c>
      <c r="G18" s="75">
        <f t="shared" si="2"/>
        <v>0</v>
      </c>
      <c r="H18" s="2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17" t="s">
        <v>55</v>
      </c>
      <c r="B1" s="17" t="s">
        <v>56</v>
      </c>
      <c r="C1" s="17" t="s">
        <v>89</v>
      </c>
      <c r="D1" s="17" t="s">
        <v>58</v>
      </c>
      <c r="E1" s="69" t="s">
        <v>59</v>
      </c>
      <c r="F1" s="69" t="s">
        <v>60</v>
      </c>
      <c r="G1" s="69" t="s">
        <v>61</v>
      </c>
      <c r="H1" s="69" t="s">
        <v>62</v>
      </c>
    </row>
    <row r="2" ht="15.75" customHeight="1">
      <c r="A2" s="23" t="s">
        <v>90</v>
      </c>
      <c r="B2" s="23" t="s">
        <v>91</v>
      </c>
      <c r="C2" s="41">
        <v>450.0</v>
      </c>
      <c r="D2" s="23">
        <v>1.0</v>
      </c>
      <c r="E2" s="41">
        <f t="shared" ref="E2:E16" si="1">C2*D2</f>
        <v>450</v>
      </c>
      <c r="F2" s="41">
        <f>E2*Calculador!B$3</f>
        <v>0</v>
      </c>
      <c r="G2" s="71">
        <f>E2*Calculador!B$4</f>
        <v>0</v>
      </c>
      <c r="H2" s="23" t="s">
        <v>64</v>
      </c>
    </row>
    <row r="3" ht="15.75" customHeight="1">
      <c r="A3" s="23" t="s">
        <v>92</v>
      </c>
      <c r="B3" s="23" t="s">
        <v>93</v>
      </c>
      <c r="C3" s="41">
        <v>600.0</v>
      </c>
      <c r="D3" s="23">
        <v>1.0</v>
      </c>
      <c r="E3" s="41">
        <f t="shared" si="1"/>
        <v>600</v>
      </c>
      <c r="F3" s="72">
        <f>E3*Calculador!B$3</f>
        <v>0</v>
      </c>
      <c r="G3" s="71">
        <f>E3*Calculador!B$4</f>
        <v>0</v>
      </c>
      <c r="H3" s="23" t="s">
        <v>94</v>
      </c>
    </row>
    <row r="4" ht="15.75" customHeight="1">
      <c r="A4" s="23" t="s">
        <v>95</v>
      </c>
      <c r="B4" s="23"/>
      <c r="C4" s="41">
        <v>200.0</v>
      </c>
      <c r="D4" s="23">
        <v>1.0</v>
      </c>
      <c r="E4" s="41">
        <f t="shared" si="1"/>
        <v>200</v>
      </c>
      <c r="F4" s="72">
        <f>E4*Calculador!B$3</f>
        <v>0</v>
      </c>
      <c r="G4" s="71">
        <f>E4*Calculador!B$4</f>
        <v>0</v>
      </c>
      <c r="H4" s="23"/>
    </row>
    <row r="5" ht="15.75" customHeight="1">
      <c r="A5" s="23" t="s">
        <v>96</v>
      </c>
      <c r="B5" s="23"/>
      <c r="C5" s="41">
        <v>120.0</v>
      </c>
      <c r="D5" s="23">
        <v>1.0</v>
      </c>
      <c r="E5" s="41">
        <f t="shared" si="1"/>
        <v>120</v>
      </c>
      <c r="F5" s="72">
        <f>E5*Calculador!B$3</f>
        <v>0</v>
      </c>
      <c r="G5" s="71">
        <f>E5*Calculador!B$4</f>
        <v>0</v>
      </c>
      <c r="H5" s="23"/>
    </row>
    <row r="6" ht="15.75" customHeight="1">
      <c r="A6" s="23"/>
      <c r="B6" s="23"/>
      <c r="C6" s="41"/>
      <c r="D6" s="23"/>
      <c r="E6" s="41">
        <f t="shared" si="1"/>
        <v>0</v>
      </c>
      <c r="F6" s="72">
        <f>E6*Calculador!B$3</f>
        <v>0</v>
      </c>
      <c r="G6" s="71">
        <f>E6*Calculador!B$4</f>
        <v>0</v>
      </c>
      <c r="H6" s="23"/>
    </row>
    <row r="7" ht="15.75" customHeight="1">
      <c r="A7" s="23"/>
      <c r="B7" s="23"/>
      <c r="C7" s="41"/>
      <c r="D7" s="23"/>
      <c r="E7" s="41">
        <f t="shared" si="1"/>
        <v>0</v>
      </c>
      <c r="F7" s="72">
        <f>E7*Calculador!B$3</f>
        <v>0</v>
      </c>
      <c r="G7" s="71">
        <f>E7*Calculador!B$4</f>
        <v>0</v>
      </c>
      <c r="H7" s="23"/>
    </row>
    <row r="8" ht="15.75" customHeight="1">
      <c r="A8" s="23"/>
      <c r="B8" s="23"/>
      <c r="C8" s="41"/>
      <c r="D8" s="23"/>
      <c r="E8" s="41">
        <f t="shared" si="1"/>
        <v>0</v>
      </c>
      <c r="F8" s="72">
        <f>E8*Calculador!B$3</f>
        <v>0</v>
      </c>
      <c r="G8" s="71">
        <f>E8*Calculador!B$4</f>
        <v>0</v>
      </c>
      <c r="H8" s="23"/>
    </row>
    <row r="9" ht="15.75" customHeight="1">
      <c r="A9" s="23"/>
      <c r="B9" s="23"/>
      <c r="C9" s="41"/>
      <c r="D9" s="23"/>
      <c r="E9" s="41">
        <f t="shared" si="1"/>
        <v>0</v>
      </c>
      <c r="F9" s="72">
        <f>E9*Calculador!B$3</f>
        <v>0</v>
      </c>
      <c r="G9" s="71">
        <f>E9*Calculador!B$4</f>
        <v>0</v>
      </c>
      <c r="H9" s="23"/>
    </row>
    <row r="10" ht="15.75" customHeight="1">
      <c r="A10" s="23"/>
      <c r="B10" s="23"/>
      <c r="C10" s="41"/>
      <c r="D10" s="23"/>
      <c r="E10" s="41">
        <f t="shared" si="1"/>
        <v>0</v>
      </c>
      <c r="F10" s="72">
        <f>E10*Calculador!B$3</f>
        <v>0</v>
      </c>
      <c r="G10" s="71">
        <f>E10*Calculador!B$4</f>
        <v>0</v>
      </c>
      <c r="H10" s="23"/>
    </row>
    <row r="11" ht="15.75" customHeight="1">
      <c r="A11" s="23"/>
      <c r="B11" s="23"/>
      <c r="C11" s="41"/>
      <c r="D11" s="23"/>
      <c r="E11" s="41">
        <f t="shared" si="1"/>
        <v>0</v>
      </c>
      <c r="F11" s="72">
        <f>E11*Calculador!B$3</f>
        <v>0</v>
      </c>
      <c r="G11" s="71">
        <f>E11*Calculador!B$4</f>
        <v>0</v>
      </c>
      <c r="H11" s="23"/>
    </row>
    <row r="12" ht="15.75" customHeight="1">
      <c r="A12" s="23"/>
      <c r="B12" s="23"/>
      <c r="C12" s="41"/>
      <c r="D12" s="23"/>
      <c r="E12" s="41">
        <f t="shared" si="1"/>
        <v>0</v>
      </c>
      <c r="F12" s="72">
        <f>E12*Calculador!B$3</f>
        <v>0</v>
      </c>
      <c r="G12" s="71">
        <f>E12*Calculador!B$4</f>
        <v>0</v>
      </c>
      <c r="H12" s="23"/>
    </row>
    <row r="13" ht="15.75" customHeight="1">
      <c r="A13" s="23"/>
      <c r="B13" s="23"/>
      <c r="C13" s="41"/>
      <c r="D13" s="23"/>
      <c r="E13" s="41">
        <f t="shared" si="1"/>
        <v>0</v>
      </c>
      <c r="F13" s="72">
        <f>E13*Calculador!B$3</f>
        <v>0</v>
      </c>
      <c r="G13" s="71">
        <f>E13*Calculador!B$4</f>
        <v>0</v>
      </c>
      <c r="H13" s="23"/>
    </row>
    <row r="14" ht="15.75" customHeight="1">
      <c r="A14" s="23"/>
      <c r="B14" s="23"/>
      <c r="C14" s="41"/>
      <c r="D14" s="23"/>
      <c r="E14" s="41">
        <f t="shared" si="1"/>
        <v>0</v>
      </c>
      <c r="F14" s="72">
        <f>E14*Calculador!B$3</f>
        <v>0</v>
      </c>
      <c r="G14" s="71">
        <f>E14*Calculador!B$4</f>
        <v>0</v>
      </c>
      <c r="H14" s="23"/>
    </row>
    <row r="15" ht="15.75" customHeight="1">
      <c r="A15" s="23"/>
      <c r="B15" s="23"/>
      <c r="C15" s="41"/>
      <c r="D15" s="23"/>
      <c r="E15" s="41">
        <f t="shared" si="1"/>
        <v>0</v>
      </c>
      <c r="F15" s="72">
        <f>E15*Calculador!B$3</f>
        <v>0</v>
      </c>
      <c r="G15" s="71">
        <f>E15*Calculador!B$4</f>
        <v>0</v>
      </c>
      <c r="H15" s="23"/>
    </row>
    <row r="16" ht="15.75" customHeight="1">
      <c r="A16" s="23" t="s">
        <v>73</v>
      </c>
      <c r="B16" s="23"/>
      <c r="C16" s="41">
        <v>500.0</v>
      </c>
      <c r="D16" s="23">
        <v>0.0</v>
      </c>
      <c r="E16" s="41">
        <f t="shared" si="1"/>
        <v>0</v>
      </c>
      <c r="F16" s="72">
        <f>E16*Calculador!B$3</f>
        <v>0</v>
      </c>
      <c r="G16" s="71">
        <f>E16*Calculador!B$4</f>
        <v>0</v>
      </c>
      <c r="H16" s="23"/>
    </row>
    <row r="17" ht="15.75" customHeight="1">
      <c r="A17" s="17" t="s">
        <v>74</v>
      </c>
      <c r="B17" s="17"/>
      <c r="C17" s="17"/>
      <c r="D17" s="17"/>
      <c r="E17" s="73">
        <f t="shared" ref="E17:G17" si="2">SUM(E2:E16)</f>
        <v>1370</v>
      </c>
      <c r="F17" s="74">
        <f t="shared" si="2"/>
        <v>0</v>
      </c>
      <c r="G17" s="75">
        <f t="shared" si="2"/>
        <v>0</v>
      </c>
      <c r="H17" s="2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17" t="s">
        <v>55</v>
      </c>
      <c r="B1" s="17" t="s">
        <v>56</v>
      </c>
      <c r="C1" s="17" t="s">
        <v>89</v>
      </c>
      <c r="D1" s="17" t="s">
        <v>58</v>
      </c>
      <c r="E1" s="69" t="s">
        <v>59</v>
      </c>
      <c r="F1" s="69" t="s">
        <v>60</v>
      </c>
      <c r="G1" s="69" t="s">
        <v>61</v>
      </c>
      <c r="H1" s="69" t="s">
        <v>62</v>
      </c>
    </row>
    <row r="2" ht="15.75" customHeight="1">
      <c r="A2" s="76" t="s">
        <v>97</v>
      </c>
      <c r="B2" s="76" t="s">
        <v>98</v>
      </c>
      <c r="C2" s="41">
        <v>300.0</v>
      </c>
      <c r="D2" s="76">
        <v>1.0</v>
      </c>
      <c r="E2" s="41">
        <f t="shared" ref="E2:E16" si="1">C2*D2</f>
        <v>300</v>
      </c>
      <c r="F2" s="41">
        <f>E2*Calculador!B$3</f>
        <v>0</v>
      </c>
      <c r="G2" s="71">
        <f>E2*Calculador!B$4</f>
        <v>0</v>
      </c>
      <c r="H2" s="39"/>
    </row>
    <row r="3" ht="15.75" customHeight="1">
      <c r="A3" s="23" t="s">
        <v>99</v>
      </c>
      <c r="B3" s="23"/>
      <c r="C3" s="41">
        <v>30.0</v>
      </c>
      <c r="D3" s="23">
        <v>3.0</v>
      </c>
      <c r="E3" s="41">
        <f t="shared" si="1"/>
        <v>90</v>
      </c>
      <c r="F3" s="41">
        <f>E3*Calculador!B$3</f>
        <v>0</v>
      </c>
      <c r="G3" s="71">
        <f>E3*Calculador!B$4</f>
        <v>0</v>
      </c>
      <c r="H3" s="23"/>
    </row>
    <row r="4" ht="15.75" customHeight="1">
      <c r="A4" s="23" t="s">
        <v>100</v>
      </c>
      <c r="B4" s="23" t="s">
        <v>101</v>
      </c>
      <c r="C4" s="41">
        <v>1.0</v>
      </c>
      <c r="D4" s="23">
        <v>0.0</v>
      </c>
      <c r="E4" s="41">
        <f t="shared" si="1"/>
        <v>0</v>
      </c>
      <c r="F4" s="72">
        <f>E4*Calculador!B$3</f>
        <v>0</v>
      </c>
      <c r="G4" s="71">
        <f>E4*Calculador!B$4</f>
        <v>0</v>
      </c>
      <c r="H4" s="23"/>
    </row>
    <row r="5" ht="15.75" customHeight="1">
      <c r="A5" s="23" t="s">
        <v>102</v>
      </c>
      <c r="B5" s="23" t="s">
        <v>103</v>
      </c>
      <c r="C5" s="41">
        <v>0.5</v>
      </c>
      <c r="D5" s="23">
        <v>0.0</v>
      </c>
      <c r="E5" s="41">
        <f t="shared" si="1"/>
        <v>0</v>
      </c>
      <c r="F5" s="72">
        <f>E5*Calculador!B$3</f>
        <v>0</v>
      </c>
      <c r="G5" s="71">
        <f>E5*Calculador!B$4</f>
        <v>0</v>
      </c>
      <c r="H5" s="23"/>
    </row>
    <row r="6" ht="15.75" customHeight="1">
      <c r="A6" s="23" t="s">
        <v>104</v>
      </c>
      <c r="B6" s="23" t="s">
        <v>105</v>
      </c>
      <c r="C6" s="41">
        <v>1.0</v>
      </c>
      <c r="D6" s="23"/>
      <c r="E6" s="41">
        <f t="shared" si="1"/>
        <v>0</v>
      </c>
      <c r="F6" s="72">
        <f>E6*Calculador!B$3</f>
        <v>0</v>
      </c>
      <c r="G6" s="71">
        <f>E6*Calculador!B$4</f>
        <v>0</v>
      </c>
      <c r="H6" s="23"/>
    </row>
    <row r="7" ht="15.75" customHeight="1">
      <c r="A7" s="23" t="s">
        <v>106</v>
      </c>
      <c r="B7" s="23"/>
      <c r="C7" s="41">
        <v>5.0</v>
      </c>
      <c r="D7" s="23">
        <v>0.0</v>
      </c>
      <c r="E7" s="41">
        <f t="shared" si="1"/>
        <v>0</v>
      </c>
      <c r="F7" s="72">
        <f>E7*Calculador!B$3</f>
        <v>0</v>
      </c>
      <c r="G7" s="71">
        <f>E7*Calculador!B$4</f>
        <v>0</v>
      </c>
      <c r="H7" s="23"/>
    </row>
    <row r="8" ht="15.75" customHeight="1">
      <c r="A8" s="23" t="s">
        <v>107</v>
      </c>
      <c r="B8" s="23" t="s">
        <v>108</v>
      </c>
      <c r="C8" s="41">
        <v>5.0</v>
      </c>
      <c r="D8" s="23">
        <v>0.0</v>
      </c>
      <c r="E8" s="41">
        <f t="shared" si="1"/>
        <v>0</v>
      </c>
      <c r="F8" s="72">
        <f>E8*Calculador!B$3</f>
        <v>0</v>
      </c>
      <c r="G8" s="71">
        <f>E8*Calculador!B$4</f>
        <v>0</v>
      </c>
      <c r="H8" s="23"/>
    </row>
    <row r="9" ht="15.75" customHeight="1">
      <c r="A9" s="23" t="s">
        <v>109</v>
      </c>
      <c r="B9" s="23" t="s">
        <v>103</v>
      </c>
      <c r="C9" s="41">
        <v>1.0</v>
      </c>
      <c r="D9" s="23">
        <v>0.0</v>
      </c>
      <c r="E9" s="41">
        <f t="shared" si="1"/>
        <v>0</v>
      </c>
      <c r="F9" s="72">
        <f>E9*Calculador!B$3</f>
        <v>0</v>
      </c>
      <c r="G9" s="71">
        <f>E9*Calculador!B$4</f>
        <v>0</v>
      </c>
      <c r="H9" s="23"/>
    </row>
    <row r="10" ht="15.75" customHeight="1">
      <c r="A10" s="23" t="s">
        <v>110</v>
      </c>
      <c r="B10" s="23"/>
      <c r="C10" s="41">
        <v>10.0</v>
      </c>
      <c r="D10" s="23">
        <v>0.0</v>
      </c>
      <c r="E10" s="41">
        <f t="shared" si="1"/>
        <v>0</v>
      </c>
      <c r="F10" s="72">
        <f>E10*Calculador!B$3</f>
        <v>0</v>
      </c>
      <c r="G10" s="71">
        <f>E10*Calculador!B$4</f>
        <v>0</v>
      </c>
      <c r="H10" s="23"/>
    </row>
    <row r="11" ht="15.75" customHeight="1">
      <c r="A11" s="23" t="s">
        <v>111</v>
      </c>
      <c r="B11" s="23" t="s">
        <v>103</v>
      </c>
      <c r="C11" s="41">
        <v>1.0</v>
      </c>
      <c r="D11" s="23">
        <v>0.0</v>
      </c>
      <c r="E11" s="41">
        <f t="shared" si="1"/>
        <v>0</v>
      </c>
      <c r="F11" s="72">
        <f>E11*Calculador!B$3</f>
        <v>0</v>
      </c>
      <c r="G11" s="71">
        <f>E11*Calculador!B$4</f>
        <v>0</v>
      </c>
      <c r="H11" s="23"/>
    </row>
    <row r="12" ht="15.75" customHeight="1">
      <c r="A12" s="23" t="s">
        <v>112</v>
      </c>
      <c r="B12" s="23"/>
      <c r="C12" s="41">
        <v>1.0</v>
      </c>
      <c r="D12" s="23">
        <v>0.0</v>
      </c>
      <c r="E12" s="41">
        <f t="shared" si="1"/>
        <v>0</v>
      </c>
      <c r="F12" s="72">
        <f>E12*Calculador!B$3</f>
        <v>0</v>
      </c>
      <c r="G12" s="71">
        <f>E12*Calculador!B$4</f>
        <v>0</v>
      </c>
      <c r="H12" s="23"/>
    </row>
    <row r="13" ht="15.75" customHeight="1">
      <c r="A13" s="23" t="s">
        <v>113</v>
      </c>
      <c r="B13" s="23"/>
      <c r="C13" s="41">
        <v>1.0</v>
      </c>
      <c r="D13" s="23">
        <v>0.0</v>
      </c>
      <c r="E13" s="41">
        <f t="shared" si="1"/>
        <v>0</v>
      </c>
      <c r="F13" s="72">
        <f>E13*Calculador!B$3</f>
        <v>0</v>
      </c>
      <c r="G13" s="71">
        <f>E13*Calculador!B$4</f>
        <v>0</v>
      </c>
      <c r="H13" s="23"/>
    </row>
    <row r="14" ht="15.75" customHeight="1">
      <c r="A14" s="23" t="s">
        <v>114</v>
      </c>
      <c r="B14" s="23"/>
      <c r="C14" s="41">
        <v>1.0</v>
      </c>
      <c r="D14" s="23">
        <v>0.0</v>
      </c>
      <c r="E14" s="41">
        <f t="shared" si="1"/>
        <v>0</v>
      </c>
      <c r="F14" s="72">
        <f>E14*Calculador!B$3</f>
        <v>0</v>
      </c>
      <c r="G14" s="71">
        <f>E14*Calculador!B$4</f>
        <v>0</v>
      </c>
      <c r="H14" s="23"/>
    </row>
    <row r="15" ht="15.75" customHeight="1">
      <c r="A15" s="23" t="s">
        <v>115</v>
      </c>
      <c r="B15" s="23"/>
      <c r="C15" s="41">
        <v>1.0</v>
      </c>
      <c r="D15" s="23">
        <v>0.0</v>
      </c>
      <c r="E15" s="41">
        <f t="shared" si="1"/>
        <v>0</v>
      </c>
      <c r="F15" s="72">
        <f>E15*Calculador!B$3</f>
        <v>0</v>
      </c>
      <c r="G15" s="71">
        <f>E15*Calculador!B$4</f>
        <v>0</v>
      </c>
      <c r="H15" s="23"/>
    </row>
    <row r="16" ht="15.75" customHeight="1">
      <c r="A16" s="23" t="s">
        <v>116</v>
      </c>
      <c r="B16" s="23"/>
      <c r="C16" s="41">
        <v>1.0</v>
      </c>
      <c r="D16" s="23">
        <v>0.0</v>
      </c>
      <c r="E16" s="41">
        <f t="shared" si="1"/>
        <v>0</v>
      </c>
      <c r="F16" s="72"/>
      <c r="G16" s="71"/>
      <c r="H16" s="23"/>
    </row>
    <row r="17" ht="15.75" customHeight="1">
      <c r="A17" s="23"/>
      <c r="B17" s="23"/>
      <c r="C17" s="41"/>
      <c r="D17" s="23"/>
      <c r="E17" s="41"/>
      <c r="F17" s="72"/>
      <c r="G17" s="71"/>
      <c r="H17" s="23"/>
    </row>
    <row r="18" ht="15.75" customHeight="1">
      <c r="A18" s="23" t="s">
        <v>117</v>
      </c>
      <c r="B18" s="23"/>
      <c r="C18" s="41">
        <v>150.0</v>
      </c>
      <c r="D18" s="23">
        <v>3.0</v>
      </c>
      <c r="E18" s="41">
        <f>C18*D18</f>
        <v>450</v>
      </c>
      <c r="F18" s="72">
        <f>E18*Calculador!B$3</f>
        <v>0</v>
      </c>
      <c r="G18" s="71">
        <f>E18*Calculador!B$4</f>
        <v>0</v>
      </c>
      <c r="H18" s="23"/>
    </row>
    <row r="19" ht="15.75" customHeight="1">
      <c r="A19" s="17" t="s">
        <v>74</v>
      </c>
      <c r="B19" s="17"/>
      <c r="C19" s="17"/>
      <c r="D19" s="17"/>
      <c r="E19" s="73">
        <f>SUM(E2:E18)</f>
        <v>840</v>
      </c>
      <c r="F19" s="74">
        <f t="shared" ref="F19:G19" si="2">SUM(F3:F18)</f>
        <v>0</v>
      </c>
      <c r="G19" s="75">
        <f t="shared" si="2"/>
        <v>0</v>
      </c>
      <c r="H19" s="2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8.33"/>
    <col customWidth="1" min="3" max="4" width="12.11"/>
    <col customWidth="1" min="5" max="5" width="14.33"/>
    <col customWidth="1" min="6" max="7" width="13.67"/>
    <col customWidth="1" min="8" max="26" width="14.33"/>
  </cols>
  <sheetData>
    <row r="1" ht="15.75" customHeight="1">
      <c r="A1" s="17" t="s">
        <v>55</v>
      </c>
      <c r="B1" s="17" t="s">
        <v>56</v>
      </c>
      <c r="C1" s="17" t="s">
        <v>89</v>
      </c>
      <c r="D1" s="17" t="s">
        <v>58</v>
      </c>
      <c r="E1" s="69" t="s">
        <v>59</v>
      </c>
      <c r="F1" s="69" t="s">
        <v>60</v>
      </c>
      <c r="G1" s="69" t="s">
        <v>61</v>
      </c>
    </row>
    <row r="2" ht="15.75" customHeight="1">
      <c r="A2" s="23" t="s">
        <v>118</v>
      </c>
      <c r="B2" s="23" t="s">
        <v>119</v>
      </c>
      <c r="C2" s="41">
        <v>100.0</v>
      </c>
      <c r="D2" s="23">
        <v>1.0</v>
      </c>
      <c r="E2" s="41">
        <f t="shared" ref="E2:E16" si="1">C2*D2</f>
        <v>100</v>
      </c>
      <c r="F2" s="41">
        <f>E2*Calculador!B$3</f>
        <v>0</v>
      </c>
      <c r="G2" s="71">
        <f>E2*Calculador!B$4</f>
        <v>0</v>
      </c>
    </row>
    <row r="3" ht="15.75" customHeight="1">
      <c r="A3" s="23"/>
      <c r="B3" s="23" t="s">
        <v>120</v>
      </c>
      <c r="C3" s="41">
        <v>200.0</v>
      </c>
      <c r="D3" s="23">
        <v>1.0</v>
      </c>
      <c r="E3" s="41">
        <f t="shared" si="1"/>
        <v>200</v>
      </c>
      <c r="F3" s="72">
        <f>E3*Calculador!B$3</f>
        <v>0</v>
      </c>
      <c r="G3" s="71">
        <f>E3*Calculador!B$4</f>
        <v>0</v>
      </c>
    </row>
    <row r="4" ht="15.75" customHeight="1">
      <c r="A4" s="23"/>
      <c r="B4" s="23"/>
      <c r="C4" s="41"/>
      <c r="D4" s="23"/>
      <c r="E4" s="41">
        <f t="shared" si="1"/>
        <v>0</v>
      </c>
      <c r="F4" s="72">
        <f>E4*Calculador!B$3</f>
        <v>0</v>
      </c>
      <c r="G4" s="71">
        <f>E4*Calculador!B$4</f>
        <v>0</v>
      </c>
    </row>
    <row r="5" ht="15.75" customHeight="1">
      <c r="A5" s="23"/>
      <c r="B5" s="23"/>
      <c r="C5" s="41"/>
      <c r="D5" s="23"/>
      <c r="E5" s="41">
        <f t="shared" si="1"/>
        <v>0</v>
      </c>
      <c r="F5" s="72">
        <f>E5*Calculador!B$3</f>
        <v>0</v>
      </c>
      <c r="G5" s="71">
        <f>E5*Calculador!B$4</f>
        <v>0</v>
      </c>
    </row>
    <row r="6" ht="15.75" customHeight="1">
      <c r="A6" s="23"/>
      <c r="B6" s="23"/>
      <c r="C6" s="41"/>
      <c r="D6" s="23"/>
      <c r="E6" s="41">
        <f t="shared" si="1"/>
        <v>0</v>
      </c>
      <c r="F6" s="72">
        <f>E6*Calculador!B$3</f>
        <v>0</v>
      </c>
      <c r="G6" s="71">
        <f>E6*Calculador!B$4</f>
        <v>0</v>
      </c>
    </row>
    <row r="7" ht="15.75" customHeight="1">
      <c r="A7" s="23"/>
      <c r="B7" s="23"/>
      <c r="C7" s="41"/>
      <c r="D7" s="23"/>
      <c r="E7" s="41">
        <f t="shared" si="1"/>
        <v>0</v>
      </c>
      <c r="F7" s="72">
        <f>E7*Calculador!B$3</f>
        <v>0</v>
      </c>
      <c r="G7" s="71">
        <f>E7*Calculador!B$4</f>
        <v>0</v>
      </c>
    </row>
    <row r="8" ht="15.75" customHeight="1">
      <c r="A8" s="23"/>
      <c r="B8" s="23"/>
      <c r="C8" s="41"/>
      <c r="D8" s="23"/>
      <c r="E8" s="41">
        <f t="shared" si="1"/>
        <v>0</v>
      </c>
      <c r="F8" s="72">
        <f>E8*Calculador!B$3</f>
        <v>0</v>
      </c>
      <c r="G8" s="71">
        <f>E8*Calculador!B$4</f>
        <v>0</v>
      </c>
    </row>
    <row r="9" ht="15.75" customHeight="1">
      <c r="A9" s="23"/>
      <c r="B9" s="23"/>
      <c r="C9" s="41"/>
      <c r="D9" s="23"/>
      <c r="E9" s="41">
        <f t="shared" si="1"/>
        <v>0</v>
      </c>
      <c r="F9" s="72">
        <f>E9*Calculador!B$3</f>
        <v>0</v>
      </c>
      <c r="G9" s="71">
        <f>E9*Calculador!B$4</f>
        <v>0</v>
      </c>
    </row>
    <row r="10" ht="15.75" customHeight="1">
      <c r="A10" s="23"/>
      <c r="B10" s="23"/>
      <c r="C10" s="41"/>
      <c r="D10" s="23"/>
      <c r="E10" s="41">
        <f t="shared" si="1"/>
        <v>0</v>
      </c>
      <c r="F10" s="72">
        <f>E10*Calculador!B$3</f>
        <v>0</v>
      </c>
      <c r="G10" s="71">
        <f>E10*Calculador!B$4</f>
        <v>0</v>
      </c>
    </row>
    <row r="11" ht="15.75" customHeight="1">
      <c r="A11" s="23"/>
      <c r="B11" s="23"/>
      <c r="C11" s="41"/>
      <c r="D11" s="23"/>
      <c r="E11" s="41">
        <f t="shared" si="1"/>
        <v>0</v>
      </c>
      <c r="F11" s="72">
        <f>E11*Calculador!B$3</f>
        <v>0</v>
      </c>
      <c r="G11" s="71">
        <f>E11*Calculador!B$4</f>
        <v>0</v>
      </c>
    </row>
    <row r="12" ht="15.75" customHeight="1">
      <c r="A12" s="23"/>
      <c r="B12" s="23"/>
      <c r="C12" s="41"/>
      <c r="D12" s="23"/>
      <c r="E12" s="41">
        <f t="shared" si="1"/>
        <v>0</v>
      </c>
      <c r="F12" s="72">
        <f>E12*Calculador!B$3</f>
        <v>0</v>
      </c>
      <c r="G12" s="71">
        <f>E12*Calculador!B$4</f>
        <v>0</v>
      </c>
    </row>
    <row r="13" ht="15.75" customHeight="1">
      <c r="A13" s="23"/>
      <c r="B13" s="23"/>
      <c r="C13" s="41"/>
      <c r="D13" s="23"/>
      <c r="E13" s="41">
        <f t="shared" si="1"/>
        <v>0</v>
      </c>
      <c r="F13" s="72">
        <f>E13*Calculador!B$3</f>
        <v>0</v>
      </c>
      <c r="G13" s="71">
        <f>E13*Calculador!B$4</f>
        <v>0</v>
      </c>
    </row>
    <row r="14" ht="15.75" customHeight="1">
      <c r="A14" s="23"/>
      <c r="B14" s="23"/>
      <c r="C14" s="41"/>
      <c r="D14" s="23"/>
      <c r="E14" s="41">
        <f t="shared" si="1"/>
        <v>0</v>
      </c>
      <c r="F14" s="72">
        <f>E14*Calculador!B$3</f>
        <v>0</v>
      </c>
      <c r="G14" s="71">
        <f>E14*Calculador!B$4</f>
        <v>0</v>
      </c>
    </row>
    <row r="15" ht="15.75" customHeight="1">
      <c r="A15" s="23"/>
      <c r="B15" s="23"/>
      <c r="C15" s="41"/>
      <c r="D15" s="23"/>
      <c r="E15" s="41">
        <f t="shared" si="1"/>
        <v>0</v>
      </c>
      <c r="F15" s="72">
        <f>E15*Calculador!B$3</f>
        <v>0</v>
      </c>
      <c r="G15" s="71">
        <f>E15*Calculador!B$4</f>
        <v>0</v>
      </c>
    </row>
    <row r="16" ht="15.75" customHeight="1">
      <c r="A16" s="23"/>
      <c r="B16" s="23"/>
      <c r="C16" s="41"/>
      <c r="D16" s="23"/>
      <c r="E16" s="41">
        <f t="shared" si="1"/>
        <v>0</v>
      </c>
      <c r="F16" s="72">
        <f>E16*Calculador!B$3</f>
        <v>0</v>
      </c>
      <c r="G16" s="71">
        <f>E16*Calculador!B$4</f>
        <v>0</v>
      </c>
    </row>
    <row r="17" ht="15.75" customHeight="1">
      <c r="A17" s="17" t="s">
        <v>74</v>
      </c>
      <c r="B17" s="17"/>
      <c r="C17" s="17"/>
      <c r="D17" s="17"/>
      <c r="E17" s="73">
        <f t="shared" ref="E17:G17" si="2">SUM(E2:E16)</f>
        <v>300</v>
      </c>
      <c r="F17" s="74">
        <f t="shared" si="2"/>
        <v>0</v>
      </c>
      <c r="G17" s="75">
        <f t="shared" si="2"/>
        <v>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16.44"/>
    <col customWidth="1" min="3" max="3" width="19.44"/>
    <col customWidth="1" min="4" max="4" width="16.33"/>
    <col customWidth="1" min="5" max="5" width="22.67"/>
    <col customWidth="1" min="6" max="6" width="15.78"/>
    <col customWidth="1" min="7" max="7" width="26.67"/>
    <col customWidth="1" min="8" max="8" width="21.33"/>
    <col customWidth="1" min="9" max="9" width="16.11"/>
    <col customWidth="1" min="10" max="11" width="17.33"/>
    <col customWidth="1" min="12" max="12" width="17.0"/>
    <col customWidth="1" min="13" max="13" width="16.33"/>
    <col customWidth="1" min="14" max="14" width="24.0"/>
    <col customWidth="1" min="15" max="15" width="20.11"/>
    <col customWidth="1" min="16" max="16" width="23.33"/>
    <col customWidth="1" min="17" max="17" width="14.44"/>
    <col customWidth="1" min="18" max="26" width="10.56"/>
  </cols>
  <sheetData>
    <row r="1" ht="24.0" customHeight="1">
      <c r="A1" s="77" t="s">
        <v>121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</row>
    <row r="2" ht="15.75" customHeight="1">
      <c r="A2" s="14" t="s">
        <v>122</v>
      </c>
      <c r="B2" s="13">
        <v>0.1</v>
      </c>
      <c r="C2" s="14" t="s">
        <v>123</v>
      </c>
      <c r="D2" s="13">
        <v>1.0</v>
      </c>
      <c r="E2" s="14" t="s">
        <v>124</v>
      </c>
      <c r="F2" s="13">
        <v>1.0</v>
      </c>
      <c r="G2" s="14" t="s">
        <v>125</v>
      </c>
      <c r="H2" s="13">
        <v>40.0</v>
      </c>
      <c r="I2" s="14" t="s">
        <v>126</v>
      </c>
      <c r="J2" s="13">
        <v>1.0</v>
      </c>
      <c r="K2" s="14" t="s">
        <v>127</v>
      </c>
      <c r="L2" s="80">
        <v>0.5</v>
      </c>
      <c r="M2" s="81"/>
      <c r="N2" s="25"/>
      <c r="O2" s="25"/>
      <c r="P2" s="25"/>
    </row>
    <row r="3" ht="15.75" customHeight="1">
      <c r="A3" s="19" t="s">
        <v>128</v>
      </c>
      <c r="B3" s="63" t="s">
        <v>129</v>
      </c>
      <c r="C3" s="19" t="s">
        <v>130</v>
      </c>
      <c r="D3" s="63">
        <v>1.0</v>
      </c>
      <c r="E3" s="19" t="s">
        <v>131</v>
      </c>
      <c r="F3" s="63">
        <v>1.0</v>
      </c>
      <c r="G3" s="19" t="s">
        <v>132</v>
      </c>
      <c r="H3" s="63">
        <v>1.0</v>
      </c>
      <c r="I3" s="19" t="s">
        <v>133</v>
      </c>
      <c r="J3" s="63">
        <v>1.0</v>
      </c>
      <c r="K3" s="82" t="s">
        <v>134</v>
      </c>
      <c r="L3" s="83">
        <v>1.0</v>
      </c>
      <c r="M3" s="23"/>
    </row>
    <row r="4" ht="15.75" customHeight="1">
      <c r="A4" s="84"/>
    </row>
    <row r="5" ht="15.75" customHeight="1">
      <c r="A5" s="84"/>
      <c r="G5" s="85"/>
    </row>
    <row r="6" ht="15.75" customHeight="1">
      <c r="A6" s="86" t="s">
        <v>135</v>
      </c>
      <c r="B6" s="86" t="s">
        <v>136</v>
      </c>
      <c r="C6" s="86" t="s">
        <v>7</v>
      </c>
      <c r="D6" s="86" t="s">
        <v>137</v>
      </c>
      <c r="E6" s="86" t="s">
        <v>138</v>
      </c>
      <c r="F6" s="86" t="s">
        <v>139</v>
      </c>
      <c r="G6" s="86" t="s">
        <v>140</v>
      </c>
      <c r="H6" s="86" t="s">
        <v>14</v>
      </c>
      <c r="I6" s="86" t="s">
        <v>141</v>
      </c>
      <c r="J6" s="86" t="s">
        <v>17</v>
      </c>
      <c r="K6" s="86" t="s">
        <v>142</v>
      </c>
      <c r="L6" s="86" t="s">
        <v>18</v>
      </c>
      <c r="M6" s="86" t="s">
        <v>143</v>
      </c>
      <c r="N6" s="86" t="s">
        <v>144</v>
      </c>
      <c r="O6" s="86" t="s">
        <v>145</v>
      </c>
      <c r="P6" s="86" t="s">
        <v>146</v>
      </c>
    </row>
    <row r="7" ht="15.75" customHeight="1">
      <c r="A7" s="87" t="s">
        <v>147</v>
      </c>
      <c r="B7" s="88">
        <v>2139795.0</v>
      </c>
      <c r="C7" s="89">
        <v>22649.0</v>
      </c>
      <c r="D7" s="90">
        <f t="shared" ref="D7:D34" si="1">B7/C7</f>
        <v>94.47635657</v>
      </c>
      <c r="E7" s="91">
        <f t="shared" ref="E7:E33" si="2">C7*$B$2%</f>
        <v>22.649</v>
      </c>
      <c r="F7" s="91">
        <f t="shared" ref="F7:F33" si="3">E7*D7</f>
        <v>2139.795</v>
      </c>
      <c r="G7" s="40">
        <f>E7*J$3*12*(1+Calculador!B$18)</f>
        <v>163344.588</v>
      </c>
      <c r="H7" s="92">
        <f>E7*H$3*'Estacao de Pesagerm'!D$23*(1+Calculador!B$2)</f>
        <v>251562.443</v>
      </c>
      <c r="I7" s="93">
        <v>0.0</v>
      </c>
      <c r="J7" s="93">
        <f>E7*D$2*'Totem RFID'!E$17*(1+Calculador!B$2)</f>
        <v>99655.6</v>
      </c>
      <c r="K7" s="93">
        <f>E7*Calculador!$J$10*(1+Calculador!B$10)</f>
        <v>2731469.4</v>
      </c>
      <c r="L7" s="93">
        <f>E7*D$3*'Leitor Manual'!E$18*(1+Calculador!B$2)</f>
        <v>88784.08</v>
      </c>
      <c r="M7" s="93">
        <v>0.0</v>
      </c>
      <c r="N7" s="93">
        <f t="shared" ref="N7:N33" si="4">F7*L$2*12</f>
        <v>12838.77</v>
      </c>
      <c r="O7" s="93">
        <f t="shared" ref="O7:O33" si="5">SUM(G7:N7)</f>
        <v>3347654.881</v>
      </c>
      <c r="P7" s="93">
        <f t="shared" ref="P7:P33" si="6">O7/12/5</f>
        <v>55794.24802</v>
      </c>
      <c r="Q7" s="94"/>
    </row>
    <row r="8" ht="15.75" customHeight="1">
      <c r="A8" s="87" t="s">
        <v>148</v>
      </c>
      <c r="B8" s="88">
        <v>78618.0</v>
      </c>
      <c r="C8" s="89">
        <v>42300.0</v>
      </c>
      <c r="D8" s="90">
        <f t="shared" si="1"/>
        <v>1.85858156</v>
      </c>
      <c r="E8" s="91">
        <f t="shared" si="2"/>
        <v>42.3</v>
      </c>
      <c r="F8" s="91">
        <f t="shared" si="3"/>
        <v>78.618</v>
      </c>
      <c r="G8" s="40">
        <f>E8*J$3*Calculador!B$18*12</f>
        <v>304560</v>
      </c>
      <c r="H8" s="92">
        <f>E8*H$3*'Estacao de Pesagerm'!D$23*(1+Calculador!B$2)</f>
        <v>469826.1</v>
      </c>
      <c r="I8" s="93">
        <v>0.0</v>
      </c>
      <c r="J8" s="93">
        <f>E8*D$2*'Totem RFID'!E$17*(1+Calculador!B$2)</f>
        <v>186120</v>
      </c>
      <c r="K8" s="93">
        <f>E8*Calculador!$J$10*(1+Calculador!B$10)</f>
        <v>5101380</v>
      </c>
      <c r="L8" s="93">
        <f>E8*D$3*'Leitor Manual'!E$18*(1+Calculador!B$2)</f>
        <v>165816</v>
      </c>
      <c r="M8" s="93">
        <v>0.0</v>
      </c>
      <c r="N8" s="93">
        <f t="shared" si="4"/>
        <v>471.708</v>
      </c>
      <c r="O8" s="93">
        <f t="shared" si="5"/>
        <v>6228173.808</v>
      </c>
      <c r="P8" s="93">
        <f t="shared" si="6"/>
        <v>103802.8968</v>
      </c>
      <c r="Q8" s="94"/>
      <c r="R8" s="94"/>
    </row>
    <row r="9" ht="15.75" customHeight="1">
      <c r="A9" s="87" t="s">
        <v>149</v>
      </c>
      <c r="B9" s="88">
        <v>36481.0</v>
      </c>
      <c r="C9" s="89">
        <v>684.0</v>
      </c>
      <c r="D9" s="90">
        <f t="shared" si="1"/>
        <v>53.33479532</v>
      </c>
      <c r="E9" s="91">
        <f t="shared" si="2"/>
        <v>0.684</v>
      </c>
      <c r="F9" s="91">
        <f t="shared" si="3"/>
        <v>36.481</v>
      </c>
      <c r="G9" s="40">
        <f>E9*J$3*Calculador!B$18*12</f>
        <v>4924.8</v>
      </c>
      <c r="H9" s="92">
        <f>E9*H$3*'Estacao de Pesagerm'!D$23*(1+Calculador!B$2)</f>
        <v>7597.188</v>
      </c>
      <c r="I9" s="93">
        <v>0.0</v>
      </c>
      <c r="J9" s="93">
        <f>E9*D$2*'Totem RFID'!E$17*(1+Calculador!B$2)</f>
        <v>3009.6</v>
      </c>
      <c r="K9" s="93">
        <f>E9*Calculador!$J$10*(1+Calculador!B$10)</f>
        <v>82490.4</v>
      </c>
      <c r="L9" s="93">
        <f>E9*D$3*'Leitor Manual'!E$18*(1+Calculador!B$2)</f>
        <v>2681.28</v>
      </c>
      <c r="M9" s="93">
        <v>0.0</v>
      </c>
      <c r="N9" s="93">
        <f t="shared" si="4"/>
        <v>218.886</v>
      </c>
      <c r="O9" s="93">
        <f t="shared" si="5"/>
        <v>100922.154</v>
      </c>
      <c r="P9" s="93">
        <f t="shared" si="6"/>
        <v>1682.0359</v>
      </c>
      <c r="Q9" s="94"/>
    </row>
    <row r="10" ht="15.75" customHeight="1">
      <c r="A10" s="87" t="s">
        <v>150</v>
      </c>
      <c r="B10" s="88">
        <v>1252385.0</v>
      </c>
      <c r="C10" s="89">
        <v>14612.0</v>
      </c>
      <c r="D10" s="90">
        <f t="shared" si="1"/>
        <v>85.70934848</v>
      </c>
      <c r="E10" s="91">
        <f t="shared" si="2"/>
        <v>14.612</v>
      </c>
      <c r="F10" s="91">
        <f t="shared" si="3"/>
        <v>1252.385</v>
      </c>
      <c r="G10" s="40">
        <f>E10*J$3*Calculador!B$18*12</f>
        <v>105206.4</v>
      </c>
      <c r="H10" s="92">
        <f>E10*H$3*'Estacao de Pesagerm'!D$23*(1+Calculador!B$2)</f>
        <v>162295.484</v>
      </c>
      <c r="I10" s="93">
        <v>0.0</v>
      </c>
      <c r="J10" s="93">
        <f>E10*D$2*'Totem RFID'!E$17*(1+Calculador!B$2)</f>
        <v>64292.8</v>
      </c>
      <c r="K10" s="93">
        <f>E10*Calculador!$J$10*(1+Calculador!B$10)</f>
        <v>1762207.2</v>
      </c>
      <c r="L10" s="93">
        <f>E10*D$3*'Leitor Manual'!E$18*(1+Calculador!B$2)</f>
        <v>57279.04</v>
      </c>
      <c r="M10" s="93">
        <v>0.0</v>
      </c>
      <c r="N10" s="93">
        <f t="shared" si="4"/>
        <v>7514.31</v>
      </c>
      <c r="O10" s="93">
        <f t="shared" si="5"/>
        <v>2158795.234</v>
      </c>
      <c r="P10" s="93">
        <f t="shared" si="6"/>
        <v>35979.92057</v>
      </c>
      <c r="Q10" s="94"/>
    </row>
    <row r="11" ht="15.75" customHeight="1">
      <c r="A11" s="87" t="s">
        <v>151</v>
      </c>
      <c r="B11" s="91">
        <v>8177761.0</v>
      </c>
      <c r="C11" s="89">
        <v>297284.0</v>
      </c>
      <c r="D11" s="90">
        <f t="shared" si="1"/>
        <v>27.50824464</v>
      </c>
      <c r="E11" s="91">
        <f t="shared" si="2"/>
        <v>297.284</v>
      </c>
      <c r="F11" s="91">
        <f t="shared" si="3"/>
        <v>8177.761</v>
      </c>
      <c r="G11" s="40">
        <f>E11*J$3*Calculador!B$18*12</f>
        <v>2140444.8</v>
      </c>
      <c r="H11" s="92">
        <f>E11*H$3*'Estacao de Pesagerm'!D$23*(1+Calculador!B$2)</f>
        <v>3301933.388</v>
      </c>
      <c r="I11" s="93">
        <v>0.0</v>
      </c>
      <c r="J11" s="93">
        <f>E11*D$2*'Totem RFID'!E$17*(1+Calculador!B$2)</f>
        <v>1308049.6</v>
      </c>
      <c r="K11" s="93">
        <f>E11*Calculador!$J$10*(1+Calculador!B$10)</f>
        <v>35852450.4</v>
      </c>
      <c r="L11" s="93">
        <f>E11*D$3*'Leitor Manual'!E$18*(1+Calculador!B$2)</f>
        <v>1165353.28</v>
      </c>
      <c r="M11" s="93">
        <v>0.0</v>
      </c>
      <c r="N11" s="93">
        <f t="shared" si="4"/>
        <v>49066.566</v>
      </c>
      <c r="O11" s="93">
        <f t="shared" si="5"/>
        <v>43817298.03</v>
      </c>
      <c r="P11" s="93">
        <f t="shared" si="6"/>
        <v>730288.3006</v>
      </c>
      <c r="Q11" s="94"/>
    </row>
    <row r="12" ht="15.75" customHeight="1">
      <c r="A12" s="87" t="s">
        <v>152</v>
      </c>
      <c r="B12" s="91">
        <v>1892771.0</v>
      </c>
      <c r="C12" s="89">
        <v>114714.0</v>
      </c>
      <c r="D12" s="90">
        <f t="shared" si="1"/>
        <v>16.49991283</v>
      </c>
      <c r="E12" s="91">
        <f t="shared" si="2"/>
        <v>114.714</v>
      </c>
      <c r="F12" s="91">
        <f t="shared" si="3"/>
        <v>1892.771</v>
      </c>
      <c r="G12" s="40">
        <f>E12*J$3*Calculador!B$18*12</f>
        <v>825940.8</v>
      </c>
      <c r="H12" s="92">
        <f>E12*H$3*'Estacao de Pesagerm'!D$23*(1+Calculador!B$2)</f>
        <v>1274128.398</v>
      </c>
      <c r="I12" s="93">
        <v>0.0</v>
      </c>
      <c r="J12" s="93">
        <f>E12*D$2*'Totem RFID'!E$17*(1+Calculador!B$2)</f>
        <v>504741.6</v>
      </c>
      <c r="K12" s="93">
        <f>E12*Calculador!$J$10*(1+Calculador!B$10)</f>
        <v>13834508.4</v>
      </c>
      <c r="L12" s="93">
        <f>E12*D$3*'Leitor Manual'!E$18*(1+Calculador!B$2)</f>
        <v>449678.88</v>
      </c>
      <c r="M12" s="93">
        <v>0.0</v>
      </c>
      <c r="N12" s="93">
        <f t="shared" si="4"/>
        <v>11356.626</v>
      </c>
      <c r="O12" s="93">
        <f t="shared" si="5"/>
        <v>16900354.7</v>
      </c>
      <c r="P12" s="93">
        <f t="shared" si="6"/>
        <v>281672.5784</v>
      </c>
      <c r="Q12" s="94"/>
    </row>
    <row r="13" ht="15.75" customHeight="1">
      <c r="A13" s="87" t="s">
        <v>153</v>
      </c>
      <c r="B13" s="88">
        <v>62910.0</v>
      </c>
      <c r="C13" s="89">
        <v>1468.0</v>
      </c>
      <c r="D13" s="90">
        <f t="shared" si="1"/>
        <v>42.85422343</v>
      </c>
      <c r="E13" s="91">
        <f t="shared" si="2"/>
        <v>1.468</v>
      </c>
      <c r="F13" s="91">
        <f t="shared" si="3"/>
        <v>62.91</v>
      </c>
      <c r="G13" s="40">
        <f>E13*J$3*Calculador!B$18*12</f>
        <v>10569.6</v>
      </c>
      <c r="H13" s="92">
        <f>E13*H$3*'Estacao de Pesagerm'!D$23*(1+Calculador!B$2)</f>
        <v>16305.076</v>
      </c>
      <c r="I13" s="93">
        <v>0.0</v>
      </c>
      <c r="J13" s="93">
        <f>E13*D$2*'Totem RFID'!E$17*(1+Calculador!B$2)</f>
        <v>6459.2</v>
      </c>
      <c r="K13" s="93">
        <f>E13*Calculador!$J$10*(1+Calculador!B$10)</f>
        <v>177040.8</v>
      </c>
      <c r="L13" s="93">
        <f>E13*D$3*'Leitor Manual'!E$18*(1+Calculador!B$2)</f>
        <v>5754.56</v>
      </c>
      <c r="M13" s="93">
        <v>0.0</v>
      </c>
      <c r="N13" s="93">
        <f t="shared" si="4"/>
        <v>377.46</v>
      </c>
      <c r="O13" s="93">
        <f t="shared" si="5"/>
        <v>216506.696</v>
      </c>
      <c r="P13" s="93">
        <f t="shared" si="6"/>
        <v>3608.444933</v>
      </c>
      <c r="Q13" s="94"/>
    </row>
    <row r="14" ht="15.75" customHeight="1">
      <c r="A14" s="87" t="s">
        <v>154</v>
      </c>
      <c r="B14" s="91">
        <v>1650374.0</v>
      </c>
      <c r="C14" s="91">
        <v>33128.0</v>
      </c>
      <c r="D14" s="90">
        <f t="shared" si="1"/>
        <v>49.81809949</v>
      </c>
      <c r="E14" s="91">
        <f t="shared" si="2"/>
        <v>33.128</v>
      </c>
      <c r="F14" s="91">
        <f t="shared" si="3"/>
        <v>1650.374</v>
      </c>
      <c r="G14" s="40">
        <f>E14*J$3*Calculador!B$18*12</f>
        <v>238521.6</v>
      </c>
      <c r="H14" s="92">
        <f>E14*H$3*'Estacao de Pesagerm'!D$23*(1+Calculador!B$2)</f>
        <v>367952.696</v>
      </c>
      <c r="I14" s="93">
        <v>0.0</v>
      </c>
      <c r="J14" s="93">
        <f>E14*D$2*'Totem RFID'!E$17*(1+Calculador!B$2)</f>
        <v>145763.2</v>
      </c>
      <c r="K14" s="93">
        <f>E14*Calculador!$J$10*(1+Calculador!B$10)</f>
        <v>3995236.8</v>
      </c>
      <c r="L14" s="93">
        <f>E14*D$3*'Leitor Manual'!E$18*(1+Calculador!B$2)</f>
        <v>129861.76</v>
      </c>
      <c r="M14" s="93">
        <v>0.0</v>
      </c>
      <c r="N14" s="93">
        <f t="shared" si="4"/>
        <v>9902.244</v>
      </c>
      <c r="O14" s="93">
        <f t="shared" si="5"/>
        <v>4887238.3</v>
      </c>
      <c r="P14" s="93">
        <f t="shared" si="6"/>
        <v>81453.97167</v>
      </c>
      <c r="Q14" s="94"/>
    </row>
    <row r="15" ht="15.75" customHeight="1">
      <c r="A15" s="87" t="s">
        <v>155</v>
      </c>
      <c r="B15" s="91">
        <v>1.7292288E7</v>
      </c>
      <c r="C15" s="89">
        <v>126100.0</v>
      </c>
      <c r="D15" s="90">
        <f t="shared" si="1"/>
        <v>137.1315464</v>
      </c>
      <c r="E15" s="91">
        <f t="shared" si="2"/>
        <v>126.1</v>
      </c>
      <c r="F15" s="91">
        <f t="shared" si="3"/>
        <v>17292.288</v>
      </c>
      <c r="G15" s="40">
        <f>E15*J$3*Calculador!B$18*12</f>
        <v>907920</v>
      </c>
      <c r="H15" s="92">
        <f>E15*H$3*'Estacao de Pesagerm'!D$23*(1+Calculador!B$2)</f>
        <v>1400592.7</v>
      </c>
      <c r="I15" s="93">
        <v>0.0</v>
      </c>
      <c r="J15" s="93">
        <f>E15*D$2*'Totem RFID'!E$17*(1+Calculador!B$2)</f>
        <v>554840</v>
      </c>
      <c r="K15" s="93">
        <f>E15*Calculador!$J$10*(1+Calculador!B$10)</f>
        <v>15207660</v>
      </c>
      <c r="L15" s="93">
        <f>E15*D$3*'Leitor Manual'!E$18*(1+Calculador!B$2)</f>
        <v>494312</v>
      </c>
      <c r="M15" s="93">
        <v>0.0</v>
      </c>
      <c r="N15" s="93">
        <f t="shared" si="4"/>
        <v>103753.728</v>
      </c>
      <c r="O15" s="93">
        <f t="shared" si="5"/>
        <v>18669078.43</v>
      </c>
      <c r="P15" s="93">
        <f t="shared" si="6"/>
        <v>311151.3071</v>
      </c>
      <c r="Q15" s="94"/>
    </row>
    <row r="16" ht="15.75" customHeight="1">
      <c r="A16" s="87" t="s">
        <v>156</v>
      </c>
      <c r="B16" s="91">
        <v>5419044.0</v>
      </c>
      <c r="C16" s="89">
        <v>91296.0</v>
      </c>
      <c r="D16" s="90">
        <f t="shared" si="1"/>
        <v>59.3568612</v>
      </c>
      <c r="E16" s="91">
        <f t="shared" si="2"/>
        <v>91.296</v>
      </c>
      <c r="F16" s="91">
        <f t="shared" si="3"/>
        <v>5419.044</v>
      </c>
      <c r="G16" s="40">
        <f>E16*J$3*Calculador!B$18*12</f>
        <v>657331.2</v>
      </c>
      <c r="H16" s="92">
        <f>E16*H$3*'Estacao de Pesagerm'!D$23*(1+Calculador!B$2)</f>
        <v>1014024.672</v>
      </c>
      <c r="I16" s="93">
        <v>0.0</v>
      </c>
      <c r="J16" s="93">
        <f>E16*D$2*'Totem RFID'!E$17*(1+Calculador!B$2)</f>
        <v>401702.4</v>
      </c>
      <c r="K16" s="93">
        <f>E16*Calculador!$J$10*(1+Calculador!B$10)</f>
        <v>11010297.6</v>
      </c>
      <c r="L16" s="93">
        <f>E16*D$3*'Leitor Manual'!E$18*(1+Calculador!B$2)</f>
        <v>357880.32</v>
      </c>
      <c r="M16" s="93">
        <v>0.0</v>
      </c>
      <c r="N16" s="93">
        <f t="shared" si="4"/>
        <v>32514.264</v>
      </c>
      <c r="O16" s="93">
        <f t="shared" si="5"/>
        <v>13473750.46</v>
      </c>
      <c r="P16" s="93">
        <f t="shared" si="6"/>
        <v>224562.5076</v>
      </c>
      <c r="Q16" s="94"/>
    </row>
    <row r="17" ht="15.75" customHeight="1">
      <c r="A17" s="87" t="s">
        <v>157</v>
      </c>
      <c r="B17" s="91">
        <v>2.4309475E7</v>
      </c>
      <c r="C17" s="89">
        <v>92723.0</v>
      </c>
      <c r="D17" s="90">
        <f t="shared" si="1"/>
        <v>262.1730854</v>
      </c>
      <c r="E17" s="91">
        <f t="shared" si="2"/>
        <v>92.723</v>
      </c>
      <c r="F17" s="91">
        <f t="shared" si="3"/>
        <v>24309.475</v>
      </c>
      <c r="G17" s="40">
        <f>E17*J$3*Calculador!B$18*12</f>
        <v>667605.6</v>
      </c>
      <c r="H17" s="92">
        <f>E17*H$3*'Estacao de Pesagerm'!D$23*(1+Calculador!B$2)</f>
        <v>1029874.361</v>
      </c>
      <c r="I17" s="93">
        <v>0.0</v>
      </c>
      <c r="J17" s="93">
        <f>E17*D$2*'Totem RFID'!E$17*(1+Calculador!B$2)</f>
        <v>407981.2</v>
      </c>
      <c r="K17" s="93">
        <f>E17*Calculador!$J$10*(1+Calculador!B$10)</f>
        <v>11182393.8</v>
      </c>
      <c r="L17" s="93">
        <f>E17*D$3*'Leitor Manual'!E$18*(1+Calculador!B$2)</f>
        <v>363474.16</v>
      </c>
      <c r="M17" s="93">
        <v>0.0</v>
      </c>
      <c r="N17" s="93">
        <f t="shared" si="4"/>
        <v>145856.85</v>
      </c>
      <c r="O17" s="93">
        <f t="shared" si="5"/>
        <v>13797185.97</v>
      </c>
      <c r="P17" s="93">
        <f t="shared" si="6"/>
        <v>229953.0995</v>
      </c>
      <c r="Q17" s="94"/>
    </row>
    <row r="18" ht="15.75" customHeight="1">
      <c r="A18" s="87" t="s">
        <v>158</v>
      </c>
      <c r="B18" s="88">
        <v>1.9485201E7</v>
      </c>
      <c r="C18" s="89">
        <v>54931.0</v>
      </c>
      <c r="D18" s="90">
        <f t="shared" si="1"/>
        <v>354.7213959</v>
      </c>
      <c r="E18" s="91">
        <f t="shared" si="2"/>
        <v>54.931</v>
      </c>
      <c r="F18" s="91">
        <f t="shared" si="3"/>
        <v>19485.201</v>
      </c>
      <c r="G18" s="40">
        <f>E18*J$3*Calculador!B$18*12</f>
        <v>395503.2</v>
      </c>
      <c r="H18" s="92">
        <f>E18*H$3*'Estacao de Pesagerm'!D$23*(1+Calculador!B$2)</f>
        <v>610118.617</v>
      </c>
      <c r="I18" s="93">
        <v>0.0</v>
      </c>
      <c r="J18" s="93">
        <f>E18*D$2*'Totem RFID'!E$17*(1+Calculador!B$2)</f>
        <v>241696.4</v>
      </c>
      <c r="K18" s="93">
        <f>E18*Calculador!$J$10*(1+Calculador!B$10)</f>
        <v>6624678.6</v>
      </c>
      <c r="L18" s="93">
        <f>E18*D$3*'Leitor Manual'!E$18*(1+Calculador!B$2)</f>
        <v>215329.52</v>
      </c>
      <c r="M18" s="93">
        <v>0.0</v>
      </c>
      <c r="N18" s="93">
        <f t="shared" si="4"/>
        <v>116911.206</v>
      </c>
      <c r="O18" s="93">
        <f t="shared" si="5"/>
        <v>8204237.543</v>
      </c>
      <c r="P18" s="93">
        <f t="shared" si="6"/>
        <v>136737.2924</v>
      </c>
      <c r="Q18" s="94"/>
    </row>
    <row r="19" ht="15.75" customHeight="1">
      <c r="A19" s="87" t="s">
        <v>159</v>
      </c>
      <c r="B19" s="88">
        <v>1.9575839E7</v>
      </c>
      <c r="C19" s="89">
        <v>385488.0</v>
      </c>
      <c r="D19" s="90">
        <f t="shared" si="1"/>
        <v>50.78196727</v>
      </c>
      <c r="E19" s="91">
        <f t="shared" si="2"/>
        <v>385.488</v>
      </c>
      <c r="F19" s="91">
        <f t="shared" si="3"/>
        <v>19575.839</v>
      </c>
      <c r="G19" s="40">
        <f>E19*J$3*Calculador!B$18*12</f>
        <v>2775513.6</v>
      </c>
      <c r="H19" s="92">
        <f>E19*H$3*'Estacao de Pesagerm'!D$23*(1+Calculador!B$2)</f>
        <v>4281615.216</v>
      </c>
      <c r="I19" s="93">
        <v>0.0</v>
      </c>
      <c r="J19" s="93">
        <f>E19*D$2*'Totem RFID'!E$17*(1+Calculador!B$2)</f>
        <v>1696147.2</v>
      </c>
      <c r="K19" s="93">
        <f>E19*Calculador!$J$10*(1+Calculador!B$10)</f>
        <v>46489852.8</v>
      </c>
      <c r="L19" s="93">
        <f>E19*D$3*'Leitor Manual'!E$18*(1+Calculador!B$2)</f>
        <v>1511112.96</v>
      </c>
      <c r="M19" s="93">
        <v>0.0</v>
      </c>
      <c r="N19" s="93">
        <f t="shared" si="4"/>
        <v>117455.034</v>
      </c>
      <c r="O19" s="93">
        <f t="shared" si="5"/>
        <v>56871696.81</v>
      </c>
      <c r="P19" s="93">
        <f t="shared" si="6"/>
        <v>947861.6135</v>
      </c>
      <c r="Q19" s="94"/>
    </row>
    <row r="20" ht="15.75" customHeight="1">
      <c r="A20" s="87" t="s">
        <v>160</v>
      </c>
      <c r="B20" s="88">
        <v>8397219.0</v>
      </c>
      <c r="C20" s="89">
        <v>170296.0</v>
      </c>
      <c r="D20" s="90">
        <f t="shared" si="1"/>
        <v>49.30954926</v>
      </c>
      <c r="E20" s="91">
        <f t="shared" si="2"/>
        <v>170.296</v>
      </c>
      <c r="F20" s="91">
        <f t="shared" si="3"/>
        <v>8397.219</v>
      </c>
      <c r="G20" s="40">
        <f>E20*J$3*Calculador!B$18*12</f>
        <v>1226131.2</v>
      </c>
      <c r="H20" s="92">
        <f>E20*H$3*'Estacao de Pesagerm'!D$23*(1+Calculador!B$2)</f>
        <v>1891477.672</v>
      </c>
      <c r="I20" s="93">
        <v>0.0</v>
      </c>
      <c r="J20" s="93">
        <f>E20*D$2*'Totem RFID'!E$17*(1+Calculador!B$2)</f>
        <v>749302.4</v>
      </c>
      <c r="K20" s="93">
        <f>E20*Calculador!$J$10*(1+Calculador!B$10)</f>
        <v>20537697.6</v>
      </c>
      <c r="L20" s="93">
        <f>E20*D$3*'Leitor Manual'!E$18*(1+Calculador!B$2)</f>
        <v>667560.32</v>
      </c>
      <c r="M20" s="93">
        <v>0.0</v>
      </c>
      <c r="N20" s="93">
        <f t="shared" si="4"/>
        <v>50383.314</v>
      </c>
      <c r="O20" s="93">
        <f t="shared" si="5"/>
        <v>25122552.51</v>
      </c>
      <c r="P20" s="93">
        <f t="shared" si="6"/>
        <v>418709.2084</v>
      </c>
      <c r="Q20" s="94"/>
    </row>
    <row r="21" ht="15.75" customHeight="1">
      <c r="A21" s="87" t="s">
        <v>161</v>
      </c>
      <c r="B21" s="91">
        <v>1050612.0</v>
      </c>
      <c r="C21" s="89">
        <v>82762.0</v>
      </c>
      <c r="D21" s="90">
        <f t="shared" si="1"/>
        <v>12.69437665</v>
      </c>
      <c r="E21" s="91">
        <f t="shared" si="2"/>
        <v>82.762</v>
      </c>
      <c r="F21" s="91">
        <f t="shared" si="3"/>
        <v>1050.612</v>
      </c>
      <c r="G21" s="40">
        <f>E21*J$3*Calculador!B$18*12</f>
        <v>595886.4</v>
      </c>
      <c r="H21" s="92">
        <f>E21*H$3*'Estacao de Pesagerm'!D$23*(1+Calculador!B$2)</f>
        <v>919237.534</v>
      </c>
      <c r="I21" s="93">
        <v>0.0</v>
      </c>
      <c r="J21" s="93">
        <f>E21*D$2*'Totem RFID'!E$17*(1+Calculador!B$2)</f>
        <v>364152.8</v>
      </c>
      <c r="K21" s="93">
        <f>E21*Calculador!$J$10*(1+Calculador!B$10)</f>
        <v>9981097.2</v>
      </c>
      <c r="L21" s="93">
        <f>E21*D$3*'Leitor Manual'!E$18*(1+Calculador!B$2)</f>
        <v>324427.04</v>
      </c>
      <c r="M21" s="93">
        <v>0.0</v>
      </c>
      <c r="N21" s="93">
        <f t="shared" si="4"/>
        <v>6303.672</v>
      </c>
      <c r="O21" s="93">
        <f t="shared" si="5"/>
        <v>12191104.65</v>
      </c>
      <c r="P21" s="93">
        <f t="shared" si="6"/>
        <v>203185.0774</v>
      </c>
      <c r="Q21" s="94"/>
    </row>
    <row r="22" ht="15.75" customHeight="1">
      <c r="A22" s="87" t="s">
        <v>162</v>
      </c>
      <c r="B22" s="88">
        <v>1.4349553E7</v>
      </c>
      <c r="C22" s="89">
        <v>97769.0</v>
      </c>
      <c r="D22" s="90">
        <f t="shared" si="1"/>
        <v>146.769968</v>
      </c>
      <c r="E22" s="91">
        <f t="shared" si="2"/>
        <v>97.769</v>
      </c>
      <c r="F22" s="91">
        <f t="shared" si="3"/>
        <v>14349.553</v>
      </c>
      <c r="G22" s="40">
        <f>E22*J$3*Calculador!B$18*12</f>
        <v>703936.8</v>
      </c>
      <c r="H22" s="92">
        <f>E22*H$3*'Estacao de Pesagerm'!D$23*(1+Calculador!B$2)</f>
        <v>1085920.283</v>
      </c>
      <c r="I22" s="93">
        <v>0.0</v>
      </c>
      <c r="J22" s="93">
        <f>E22*D$2*'Totem RFID'!E$17*(1+Calculador!B$2)</f>
        <v>430183.6</v>
      </c>
      <c r="K22" s="93">
        <f>E22*Calculador!$J$10*(1+Calculador!B$10)</f>
        <v>11790941.4</v>
      </c>
      <c r="L22" s="93">
        <f>E22*D$3*'Leitor Manual'!E$18*(1+Calculador!B$2)</f>
        <v>383254.48</v>
      </c>
      <c r="M22" s="93">
        <v>0.0</v>
      </c>
      <c r="N22" s="93">
        <f t="shared" si="4"/>
        <v>86097.318</v>
      </c>
      <c r="O22" s="93">
        <f t="shared" si="5"/>
        <v>14480333.88</v>
      </c>
      <c r="P22" s="93">
        <f t="shared" si="6"/>
        <v>241338.898</v>
      </c>
      <c r="Q22" s="94"/>
    </row>
    <row r="23" ht="15.75" customHeight="1">
      <c r="A23" s="87" t="s">
        <v>163</v>
      </c>
      <c r="B23" s="88">
        <v>1284796.0</v>
      </c>
      <c r="C23" s="89">
        <v>107939.0</v>
      </c>
      <c r="D23" s="90">
        <f t="shared" si="1"/>
        <v>11.90298224</v>
      </c>
      <c r="E23" s="91">
        <f t="shared" si="2"/>
        <v>107.939</v>
      </c>
      <c r="F23" s="91">
        <f t="shared" si="3"/>
        <v>1284.796</v>
      </c>
      <c r="G23" s="40">
        <f>E23*J$3*Calculador!B$18*12</f>
        <v>777160.8</v>
      </c>
      <c r="H23" s="92">
        <f>E23*H$3*'Estacao de Pesagerm'!D$23*(1+Calculador!B$2)</f>
        <v>1198878.473</v>
      </c>
      <c r="I23" s="93">
        <v>0.0</v>
      </c>
      <c r="J23" s="93">
        <f>E23*D$2*'Totem RFID'!E$17*(1+Calculador!B$2)</f>
        <v>474931.6</v>
      </c>
      <c r="K23" s="93">
        <f>E23*Calculador!$J$10*(1+Calculador!B$10)</f>
        <v>13017443.4</v>
      </c>
      <c r="L23" s="93">
        <f>E23*D$3*'Leitor Manual'!E$18*(1+Calculador!B$2)</f>
        <v>423120.88</v>
      </c>
      <c r="M23" s="93">
        <v>0.0</v>
      </c>
      <c r="N23" s="93">
        <f t="shared" si="4"/>
        <v>7708.776</v>
      </c>
      <c r="O23" s="93">
        <f t="shared" si="5"/>
        <v>15899243.93</v>
      </c>
      <c r="P23" s="93">
        <f t="shared" si="6"/>
        <v>264987.3988</v>
      </c>
      <c r="Q23" s="94"/>
    </row>
    <row r="24" ht="15.75" customHeight="1">
      <c r="A24" s="87" t="s">
        <v>164</v>
      </c>
      <c r="B24" s="88">
        <v>1427467.0</v>
      </c>
      <c r="C24" s="89">
        <v>70480.0</v>
      </c>
      <c r="D24" s="90">
        <f t="shared" si="1"/>
        <v>20.25350454</v>
      </c>
      <c r="E24" s="91">
        <f t="shared" si="2"/>
        <v>70.48</v>
      </c>
      <c r="F24" s="91">
        <f t="shared" si="3"/>
        <v>1427.467</v>
      </c>
      <c r="G24" s="40">
        <f>E24*J$3*Calculador!B$18*12</f>
        <v>507456</v>
      </c>
      <c r="H24" s="92">
        <f>E24*H$3*'Estacao de Pesagerm'!D$23*(1+Calculador!B$2)</f>
        <v>782821.36</v>
      </c>
      <c r="I24" s="93">
        <v>0.0</v>
      </c>
      <c r="J24" s="93">
        <f>E24*D$2*'Totem RFID'!E$17*(1+Calculador!B$2)</f>
        <v>310112</v>
      </c>
      <c r="K24" s="93">
        <f>E24*Calculador!$J$10*(1+Calculador!B$10)</f>
        <v>8499888</v>
      </c>
      <c r="L24" s="93">
        <f>E24*D$3*'Leitor Manual'!E$18*(1+Calculador!B$2)</f>
        <v>276281.6</v>
      </c>
      <c r="M24" s="93">
        <v>0.0</v>
      </c>
      <c r="N24" s="93">
        <f t="shared" si="4"/>
        <v>8564.802</v>
      </c>
      <c r="O24" s="93">
        <f t="shared" si="5"/>
        <v>10385123.76</v>
      </c>
      <c r="P24" s="93">
        <f t="shared" si="6"/>
        <v>173085.396</v>
      </c>
      <c r="Q24" s="94"/>
    </row>
    <row r="25" ht="15.75" customHeight="1">
      <c r="A25" s="87" t="s">
        <v>165</v>
      </c>
      <c r="B25" s="88">
        <v>758453.0</v>
      </c>
      <c r="C25" s="89">
        <v>39150.0</v>
      </c>
      <c r="D25" s="90">
        <f t="shared" si="1"/>
        <v>19.37300128</v>
      </c>
      <c r="E25" s="91">
        <f t="shared" si="2"/>
        <v>39.15</v>
      </c>
      <c r="F25" s="91">
        <f t="shared" si="3"/>
        <v>758.453</v>
      </c>
      <c r="G25" s="40">
        <f>E25*J$3*Calculador!B$18*12</f>
        <v>281880</v>
      </c>
      <c r="H25" s="92">
        <f>E25*H$3*'Estacao de Pesagerm'!D$23*(1+Calculador!B$2)</f>
        <v>434839.05</v>
      </c>
      <c r="I25" s="93">
        <v>0.0</v>
      </c>
      <c r="J25" s="93">
        <f>E25*D$2*'Totem RFID'!E$17*(1+Calculador!B$2)</f>
        <v>172260</v>
      </c>
      <c r="K25" s="93">
        <f>E25*Calculador!$J$10*(1+Calculador!B$10)</f>
        <v>4721490</v>
      </c>
      <c r="L25" s="93">
        <f>E25*D$3*'Leitor Manual'!E$18*(1+Calculador!B$2)</f>
        <v>153468</v>
      </c>
      <c r="M25" s="93">
        <v>0.0</v>
      </c>
      <c r="N25" s="93">
        <f t="shared" si="4"/>
        <v>4550.718</v>
      </c>
      <c r="O25" s="93">
        <f t="shared" si="5"/>
        <v>5768487.768</v>
      </c>
      <c r="P25" s="93">
        <f t="shared" si="6"/>
        <v>96141.4628</v>
      </c>
      <c r="Q25" s="94"/>
    </row>
    <row r="26" ht="15.75" customHeight="1">
      <c r="A26" s="87" t="s">
        <v>166</v>
      </c>
      <c r="B26" s="88">
        <v>1.1456896E7</v>
      </c>
      <c r="C26" s="89">
        <v>261717.0</v>
      </c>
      <c r="D26" s="90">
        <f t="shared" si="1"/>
        <v>43.77589534</v>
      </c>
      <c r="E26" s="91">
        <f t="shared" si="2"/>
        <v>261.717</v>
      </c>
      <c r="F26" s="91">
        <f t="shared" si="3"/>
        <v>11456.896</v>
      </c>
      <c r="G26" s="40">
        <f>E26*J$3*Calculador!B$18*12</f>
        <v>1884362.4</v>
      </c>
      <c r="H26" s="92">
        <f>E26*H$3*'Estacao de Pesagerm'!D$23*(1+Calculador!B$2)</f>
        <v>2906890.719</v>
      </c>
      <c r="I26" s="93">
        <v>0.0</v>
      </c>
      <c r="J26" s="93">
        <f>E26*D$2*'Totem RFID'!E$17*(1+Calculador!B$2)</f>
        <v>1151554.8</v>
      </c>
      <c r="K26" s="93">
        <f>E26*Calculador!$J$10*(1+Calculador!B$10)</f>
        <v>31563070.2</v>
      </c>
      <c r="L26" s="93">
        <f>E26*D$3*'Leitor Manual'!E$18*(1+Calculador!B$2)</f>
        <v>1025930.64</v>
      </c>
      <c r="M26" s="93">
        <v>0.0</v>
      </c>
      <c r="N26" s="93">
        <f t="shared" si="4"/>
        <v>68741.376</v>
      </c>
      <c r="O26" s="93">
        <f t="shared" si="5"/>
        <v>38600550.14</v>
      </c>
      <c r="P26" s="93">
        <f t="shared" si="6"/>
        <v>643342.5023</v>
      </c>
      <c r="Q26" s="94"/>
    </row>
    <row r="27" ht="15.75" customHeight="1">
      <c r="A27" s="87" t="s">
        <v>167</v>
      </c>
      <c r="B27" s="88">
        <v>1982295.0</v>
      </c>
      <c r="C27" s="89">
        <v>32273.0</v>
      </c>
      <c r="D27" s="90">
        <f t="shared" si="1"/>
        <v>61.42270629</v>
      </c>
      <c r="E27" s="91">
        <f t="shared" si="2"/>
        <v>32.273</v>
      </c>
      <c r="F27" s="91">
        <f t="shared" si="3"/>
        <v>1982.295</v>
      </c>
      <c r="G27" s="40">
        <f>E27*J$3*Calculador!B$18*12</f>
        <v>232365.6</v>
      </c>
      <c r="H27" s="92">
        <f>E27*H$3*'Estacao de Pesagerm'!D$23*(1+Calculador!B$2)</f>
        <v>358456.211</v>
      </c>
      <c r="I27" s="93">
        <v>0.0</v>
      </c>
      <c r="J27" s="93">
        <f>E27*D$2*'Totem RFID'!E$17*(1+Calculador!B$2)</f>
        <v>142001.2</v>
      </c>
      <c r="K27" s="93">
        <f>E27*Calculador!$J$10*(1+Calculador!B$10)</f>
        <v>3892123.8</v>
      </c>
      <c r="L27" s="93">
        <f>E27*D$3*'Leitor Manual'!E$18*(1+Calculador!B$2)</f>
        <v>126510.16</v>
      </c>
      <c r="M27" s="93">
        <v>0.0</v>
      </c>
      <c r="N27" s="93">
        <f t="shared" si="4"/>
        <v>11893.77</v>
      </c>
      <c r="O27" s="93">
        <f t="shared" si="5"/>
        <v>4763350.741</v>
      </c>
      <c r="P27" s="93">
        <f t="shared" si="6"/>
        <v>79389.17902</v>
      </c>
      <c r="Q27" s="94"/>
    </row>
    <row r="28" ht="15.75" customHeight="1">
      <c r="A28" s="87" t="s">
        <v>168</v>
      </c>
      <c r="B28" s="88">
        <v>9827017.0</v>
      </c>
      <c r="C28" s="89">
        <v>73129.0</v>
      </c>
      <c r="D28" s="90">
        <f t="shared" si="1"/>
        <v>134.3792066</v>
      </c>
      <c r="E28" s="91">
        <f t="shared" si="2"/>
        <v>73.129</v>
      </c>
      <c r="F28" s="91">
        <f t="shared" si="3"/>
        <v>9827.017</v>
      </c>
      <c r="G28" s="40">
        <f>E28*J$3*Calculador!B$18*12</f>
        <v>526528.8</v>
      </c>
      <c r="H28" s="92">
        <f>E28*H$3*'Estacao de Pesagerm'!D$23*(1+Calculador!B$2)</f>
        <v>812243.803</v>
      </c>
      <c r="I28" s="93">
        <v>0.0</v>
      </c>
      <c r="J28" s="93">
        <f>E28*D$2*'Totem RFID'!E$17*(1+Calculador!B$2)</f>
        <v>321767.6</v>
      </c>
      <c r="K28" s="93">
        <f>E28*Calculador!$J$10*(1+Calculador!B$10)</f>
        <v>8819357.4</v>
      </c>
      <c r="L28" s="93">
        <f>E28*D$3*'Leitor Manual'!E$18*(1+Calculador!B$2)</f>
        <v>286665.68</v>
      </c>
      <c r="M28" s="93">
        <v>0.0</v>
      </c>
      <c r="N28" s="93">
        <f t="shared" si="4"/>
        <v>58962.102</v>
      </c>
      <c r="O28" s="93">
        <f t="shared" si="5"/>
        <v>10825525.39</v>
      </c>
      <c r="P28" s="93">
        <f t="shared" si="6"/>
        <v>180425.4231</v>
      </c>
      <c r="Q28" s="94"/>
    </row>
    <row r="29" ht="15.75" customHeight="1">
      <c r="A29" s="87" t="s">
        <v>169</v>
      </c>
      <c r="B29" s="88">
        <v>681061.0</v>
      </c>
      <c r="C29" s="89">
        <v>6903.0</v>
      </c>
      <c r="D29" s="90">
        <f t="shared" si="1"/>
        <v>98.66159641</v>
      </c>
      <c r="E29" s="91">
        <f t="shared" si="2"/>
        <v>6.903</v>
      </c>
      <c r="F29" s="91">
        <f t="shared" si="3"/>
        <v>681.061</v>
      </c>
      <c r="G29" s="40">
        <f>E29*J$3*Calculador!B$18*12</f>
        <v>49701.6</v>
      </c>
      <c r="H29" s="92">
        <f>E29*H$3*'Estacao de Pesagerm'!D$23*(1+Calculador!B$2)</f>
        <v>76671.621</v>
      </c>
      <c r="I29" s="93">
        <v>0.0</v>
      </c>
      <c r="J29" s="93">
        <f>E29*D$2*'Totem RFID'!E$17*(1+Calculador!B$2)</f>
        <v>30373.2</v>
      </c>
      <c r="K29" s="93">
        <f>E29*Calculador!$J$10*(1+Calculador!B$10)</f>
        <v>832501.8</v>
      </c>
      <c r="L29" s="93">
        <f>E29*D$3*'Leitor Manual'!E$18*(1+Calculador!B$2)</f>
        <v>27059.76</v>
      </c>
      <c r="M29" s="93">
        <v>0.0</v>
      </c>
      <c r="N29" s="93">
        <f t="shared" si="4"/>
        <v>4086.366</v>
      </c>
      <c r="O29" s="93">
        <f t="shared" si="5"/>
        <v>1020394.347</v>
      </c>
      <c r="P29" s="93">
        <f t="shared" si="6"/>
        <v>17006.57245</v>
      </c>
      <c r="Q29" s="94"/>
    </row>
    <row r="30" ht="15.75" customHeight="1">
      <c r="A30" s="87" t="s">
        <v>170</v>
      </c>
      <c r="B30" s="88">
        <v>3726238.0</v>
      </c>
      <c r="C30" s="89">
        <v>132522.0</v>
      </c>
      <c r="D30" s="90">
        <f t="shared" si="1"/>
        <v>28.11788231</v>
      </c>
      <c r="E30" s="91">
        <f t="shared" si="2"/>
        <v>132.522</v>
      </c>
      <c r="F30" s="91">
        <f t="shared" si="3"/>
        <v>3726.238</v>
      </c>
      <c r="G30" s="40">
        <f>E30*J$3*Calculador!B$18*12</f>
        <v>954158.4</v>
      </c>
      <c r="H30" s="92">
        <f>E30*H$3*'Estacao de Pesagerm'!D$23*(1+Calculador!B$2)</f>
        <v>1471921.854</v>
      </c>
      <c r="I30" s="93">
        <v>0.0</v>
      </c>
      <c r="J30" s="93">
        <f>E30*D$2*'Totem RFID'!E$17*(1+Calculador!B$2)</f>
        <v>583096.8</v>
      </c>
      <c r="K30" s="93">
        <f>E30*Calculador!$J$10*(1+Calculador!B$10)</f>
        <v>15982153.2</v>
      </c>
      <c r="L30" s="93">
        <f>E30*D$3*'Leitor Manual'!E$18*(1+Calculador!B$2)</f>
        <v>519486.24</v>
      </c>
      <c r="M30" s="93">
        <v>0.0</v>
      </c>
      <c r="N30" s="93">
        <f t="shared" si="4"/>
        <v>22357.428</v>
      </c>
      <c r="O30" s="93">
        <f t="shared" si="5"/>
        <v>19533173.92</v>
      </c>
      <c r="P30" s="93">
        <f t="shared" si="6"/>
        <v>325552.8987</v>
      </c>
      <c r="Q30" s="94"/>
    </row>
    <row r="31" ht="15.75" customHeight="1">
      <c r="A31" s="87" t="s">
        <v>171</v>
      </c>
      <c r="B31" s="88">
        <v>887354.0</v>
      </c>
      <c r="C31" s="89">
        <v>43783.0</v>
      </c>
      <c r="D31" s="90">
        <f t="shared" si="1"/>
        <v>20.26708997</v>
      </c>
      <c r="E31" s="91">
        <f t="shared" si="2"/>
        <v>43.783</v>
      </c>
      <c r="F31" s="91">
        <f t="shared" si="3"/>
        <v>887.354</v>
      </c>
      <c r="G31" s="40">
        <f>E31*J$3*Calculador!B$18*12</f>
        <v>315237.6</v>
      </c>
      <c r="H31" s="92">
        <f>E31*H$3*'Estacao de Pesagerm'!D$23*(1+Calculador!B$2)</f>
        <v>486297.781</v>
      </c>
      <c r="I31" s="93">
        <v>0.0</v>
      </c>
      <c r="J31" s="93">
        <f>E31*D$2*'Totem RFID'!E$17*(1+Calculador!B$2)</f>
        <v>192645.2</v>
      </c>
      <c r="K31" s="93">
        <f>E31*Calculador!$J$10*(1+Calculador!B$10)</f>
        <v>5280229.8</v>
      </c>
      <c r="L31" s="93">
        <f>E31*D$3*'Leitor Manual'!E$18*(1+Calculador!B$2)</f>
        <v>171629.36</v>
      </c>
      <c r="M31" s="93">
        <v>0.0</v>
      </c>
      <c r="N31" s="93">
        <f t="shared" si="4"/>
        <v>5324.124</v>
      </c>
      <c r="O31" s="93">
        <f t="shared" si="5"/>
        <v>6451363.865</v>
      </c>
      <c r="P31" s="93">
        <f t="shared" si="6"/>
        <v>107522.7311</v>
      </c>
      <c r="Q31" s="94"/>
    </row>
    <row r="32" ht="15.75" customHeight="1">
      <c r="A32" s="87" t="s">
        <v>172</v>
      </c>
      <c r="B32" s="88">
        <v>8331874.0</v>
      </c>
      <c r="C32" s="89">
        <v>107255.0</v>
      </c>
      <c r="D32" s="90">
        <f t="shared" si="1"/>
        <v>77.68284928</v>
      </c>
      <c r="E32" s="91">
        <f t="shared" si="2"/>
        <v>107.255</v>
      </c>
      <c r="F32" s="91">
        <f t="shared" si="3"/>
        <v>8331.874</v>
      </c>
      <c r="G32" s="40">
        <f>E32*J$3*Calculador!B$18*12</f>
        <v>772236</v>
      </c>
      <c r="H32" s="92">
        <f>E32*H$3*'Estacao de Pesagerm'!D$23*(1+Calculador!B$2)</f>
        <v>1191281.285</v>
      </c>
      <c r="I32" s="93">
        <v>0.0</v>
      </c>
      <c r="J32" s="93">
        <f>E32*D$2*'Totem RFID'!E$17*(1+Calculador!B$2)</f>
        <v>471922</v>
      </c>
      <c r="K32" s="93">
        <f>E32*Calculador!$J$10*(1+Calculador!B$10)</f>
        <v>12934953</v>
      </c>
      <c r="L32" s="93">
        <f>E32*D$3*'Leitor Manual'!E$18*(1+Calculador!B$2)</f>
        <v>420439.6</v>
      </c>
      <c r="M32" s="93">
        <v>0.0</v>
      </c>
      <c r="N32" s="93">
        <f t="shared" si="4"/>
        <v>49991.244</v>
      </c>
      <c r="O32" s="93">
        <f t="shared" si="5"/>
        <v>15840823.13</v>
      </c>
      <c r="P32" s="93">
        <f t="shared" si="6"/>
        <v>264013.7188</v>
      </c>
      <c r="Q32" s="94"/>
    </row>
    <row r="33" ht="15.75" customHeight="1">
      <c r="A33" s="87" t="s">
        <v>173</v>
      </c>
      <c r="B33" s="88">
        <v>6477537.0</v>
      </c>
      <c r="C33" s="89">
        <v>50451.0</v>
      </c>
      <c r="D33" s="90">
        <f t="shared" si="1"/>
        <v>128.3926384</v>
      </c>
      <c r="E33" s="91">
        <f t="shared" si="2"/>
        <v>50.451</v>
      </c>
      <c r="F33" s="91">
        <f t="shared" si="3"/>
        <v>6477.537</v>
      </c>
      <c r="G33" s="40">
        <f>E33*J$3*Calculador!B$18*12</f>
        <v>363247.2</v>
      </c>
      <c r="H33" s="92">
        <f>E33*H$3*'Estacao de Pesagerm'!D$23*Calculador!B$2</f>
        <v>0</v>
      </c>
      <c r="I33" s="93">
        <v>0.0</v>
      </c>
      <c r="J33" s="93">
        <f>E33*D$2*'Totem RFID'!E$17*(1+Calculador!B$2)</f>
        <v>221984.4</v>
      </c>
      <c r="K33" s="93">
        <f>E33*Calculador!$J$10*(1+Calculador!B$10)</f>
        <v>6084390.6</v>
      </c>
      <c r="L33" s="93">
        <f>E33*D$3*'Leitor Manual'!E$18*(1+Calculador!B$2)</f>
        <v>197767.92</v>
      </c>
      <c r="M33" s="93">
        <v>0.0</v>
      </c>
      <c r="N33" s="93">
        <f t="shared" si="4"/>
        <v>38865.222</v>
      </c>
      <c r="O33" s="93">
        <f t="shared" si="5"/>
        <v>6906255.342</v>
      </c>
      <c r="P33" s="93">
        <f t="shared" si="6"/>
        <v>115104.2557</v>
      </c>
      <c r="Q33" s="94"/>
    </row>
    <row r="34" ht="15.75" customHeight="1">
      <c r="A34" s="17" t="s">
        <v>174</v>
      </c>
      <c r="B34" s="95">
        <f t="shared" ref="B34:C34" si="7">SUM(B7:B33)</f>
        <v>172011314</v>
      </c>
      <c r="C34" s="95">
        <f t="shared" si="7"/>
        <v>2553806</v>
      </c>
      <c r="D34" s="96">
        <f t="shared" si="1"/>
        <v>67.35488678</v>
      </c>
      <c r="E34" s="95">
        <f t="shared" ref="E34:P34" si="8">SUM(E7:E33)</f>
        <v>2553.806</v>
      </c>
      <c r="F34" s="97">
        <f t="shared" si="8"/>
        <v>172011.314</v>
      </c>
      <c r="G34" s="98">
        <f t="shared" si="8"/>
        <v>18387674.99</v>
      </c>
      <c r="H34" s="98">
        <f t="shared" si="8"/>
        <v>27804763.99</v>
      </c>
      <c r="I34" s="98">
        <f t="shared" si="8"/>
        <v>0</v>
      </c>
      <c r="J34" s="98">
        <f t="shared" si="8"/>
        <v>11236746.4</v>
      </c>
      <c r="K34" s="98">
        <f t="shared" si="8"/>
        <v>307989003.6</v>
      </c>
      <c r="L34" s="98">
        <f t="shared" si="8"/>
        <v>10010919.52</v>
      </c>
      <c r="M34" s="98">
        <f t="shared" si="8"/>
        <v>0</v>
      </c>
      <c r="N34" s="98">
        <f t="shared" si="8"/>
        <v>1032067.884</v>
      </c>
      <c r="O34" s="99">
        <f t="shared" si="8"/>
        <v>376461176.4</v>
      </c>
      <c r="P34" s="99">
        <f t="shared" si="8"/>
        <v>6274352.94</v>
      </c>
      <c r="Q34" s="94"/>
    </row>
    <row r="35" ht="15.75" customHeight="1">
      <c r="A35" s="25"/>
      <c r="B35" s="25"/>
      <c r="C35" s="25"/>
      <c r="D35" s="25"/>
      <c r="E35" s="25"/>
      <c r="F35" s="100"/>
      <c r="G35" s="101">
        <f>E34*J3</f>
        <v>2553.806</v>
      </c>
      <c r="H35" s="102">
        <f>E34*J3</f>
        <v>2553.806</v>
      </c>
      <c r="I35" s="102">
        <f>E34*J2</f>
        <v>2553.806</v>
      </c>
      <c r="J35" s="102">
        <f>E34*D2</f>
        <v>2553.806</v>
      </c>
      <c r="K35" s="102"/>
      <c r="L35" s="102">
        <f>E34*D3</f>
        <v>2553.806</v>
      </c>
      <c r="M35" s="102">
        <f>E34*F3</f>
        <v>2553.806</v>
      </c>
      <c r="N35" s="103"/>
      <c r="O35" s="75">
        <f>O34*Calculador!B3</f>
        <v>0</v>
      </c>
      <c r="P35" s="104">
        <f>P34*Calculador!B3</f>
        <v>0</v>
      </c>
    </row>
    <row r="36" ht="15.75" customHeight="1">
      <c r="A36" s="8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74">
        <f>O34*Calculador!B4</f>
        <v>0</v>
      </c>
      <c r="P36" s="104">
        <f>P34*Calculador!B4</f>
        <v>0</v>
      </c>
    </row>
    <row r="37" ht="15.75" customHeight="1">
      <c r="A37" s="84"/>
    </row>
    <row r="38" ht="15.75" customHeight="1">
      <c r="A38" s="84"/>
      <c r="N38" s="105" t="s">
        <v>175</v>
      </c>
    </row>
    <row r="39" ht="15.75" customHeight="1">
      <c r="A39" s="84"/>
    </row>
    <row r="40" ht="15.75" customHeight="1">
      <c r="A40" s="84"/>
    </row>
    <row r="41" ht="15.75" customHeight="1">
      <c r="A41" s="84"/>
    </row>
    <row r="42" ht="15.75" customHeight="1">
      <c r="A42" s="84"/>
    </row>
    <row r="43" ht="15.75" customHeight="1">
      <c r="A43" s="84"/>
    </row>
    <row r="44" ht="15.75" customHeight="1">
      <c r="A44" s="84"/>
    </row>
    <row r="45" ht="15.75" customHeight="1">
      <c r="A45" s="84"/>
    </row>
    <row r="46" ht="15.75" customHeight="1">
      <c r="A46" s="84"/>
    </row>
    <row r="47" ht="15.75" customHeight="1">
      <c r="A47" s="84"/>
    </row>
    <row r="48" ht="15.75" customHeight="1">
      <c r="A48" s="84"/>
    </row>
    <row r="49" ht="15.75" customHeight="1">
      <c r="A49" s="84"/>
    </row>
    <row r="50" ht="15.75" customHeight="1">
      <c r="A50" s="84"/>
    </row>
    <row r="51" ht="15.75" customHeight="1">
      <c r="A51" s="84"/>
    </row>
    <row r="52" ht="15.75" customHeight="1">
      <c r="A52" s="84"/>
    </row>
    <row r="53" ht="15.75" customHeight="1">
      <c r="A53" s="84"/>
    </row>
    <row r="54" ht="15.75" customHeight="1">
      <c r="A54" s="84"/>
    </row>
    <row r="55" ht="15.75" customHeight="1">
      <c r="A55" s="84"/>
    </row>
    <row r="56" ht="15.75" customHeight="1">
      <c r="A56" s="84"/>
    </row>
    <row r="57" ht="15.75" customHeight="1">
      <c r="A57" s="84"/>
    </row>
    <row r="58" ht="15.75" customHeight="1">
      <c r="A58" s="84"/>
    </row>
    <row r="59" ht="15.75" customHeight="1">
      <c r="A59" s="84"/>
    </row>
    <row r="60" ht="15.75" customHeight="1">
      <c r="A60" s="84"/>
    </row>
    <row r="61" ht="15.75" customHeight="1">
      <c r="A61" s="84"/>
    </row>
    <row r="62" ht="15.75" customHeight="1">
      <c r="A62" s="84"/>
    </row>
    <row r="63" ht="15.75" customHeight="1">
      <c r="A63" s="84"/>
    </row>
    <row r="64" ht="15.75" customHeight="1">
      <c r="A64" s="84"/>
    </row>
    <row r="65" ht="15.75" customHeight="1">
      <c r="A65" s="84"/>
    </row>
    <row r="66" ht="15.75" customHeight="1">
      <c r="A66" s="84"/>
    </row>
    <row r="67" ht="15.75" customHeight="1">
      <c r="A67" s="84"/>
    </row>
    <row r="68" ht="15.75" customHeight="1">
      <c r="A68" s="84"/>
    </row>
    <row r="69" ht="15.75" customHeight="1">
      <c r="A69" s="84"/>
    </row>
    <row r="70" ht="15.75" customHeight="1">
      <c r="A70" s="84"/>
    </row>
    <row r="71" ht="15.75" customHeight="1">
      <c r="A71" s="84"/>
    </row>
    <row r="72" ht="15.75" customHeight="1">
      <c r="A72" s="84"/>
    </row>
    <row r="73" ht="15.75" customHeight="1">
      <c r="A73" s="84"/>
    </row>
    <row r="74" ht="15.75" customHeight="1">
      <c r="A74" s="84"/>
    </row>
    <row r="75" ht="15.75" customHeight="1">
      <c r="A75" s="84"/>
    </row>
    <row r="76" ht="15.75" customHeight="1">
      <c r="A76" s="84"/>
    </row>
    <row r="77" ht="15.75" customHeight="1">
      <c r="A77" s="84"/>
    </row>
    <row r="78" ht="15.75" customHeight="1">
      <c r="A78" s="84"/>
    </row>
    <row r="79" ht="15.75" customHeight="1">
      <c r="A79" s="84"/>
    </row>
    <row r="80" ht="15.75" customHeight="1">
      <c r="A80" s="84"/>
    </row>
    <row r="81" ht="15.75" customHeight="1">
      <c r="A81" s="84"/>
    </row>
    <row r="82" ht="15.75" customHeight="1">
      <c r="A82" s="84"/>
    </row>
    <row r="83" ht="15.75" customHeight="1">
      <c r="A83" s="84"/>
    </row>
    <row r="84" ht="15.75" customHeight="1">
      <c r="A84" s="84"/>
    </row>
    <row r="85" ht="15.75" customHeight="1">
      <c r="A85" s="84"/>
    </row>
    <row r="86" ht="15.75" customHeight="1">
      <c r="A86" s="84"/>
    </row>
    <row r="87" ht="15.75" customHeight="1">
      <c r="A87" s="84"/>
    </row>
    <row r="88" ht="15.75" customHeight="1">
      <c r="A88" s="84"/>
    </row>
    <row r="89" ht="15.75" customHeight="1">
      <c r="A89" s="84"/>
    </row>
    <row r="90" ht="15.75" customHeight="1">
      <c r="A90" s="84"/>
    </row>
    <row r="91" ht="15.75" customHeight="1">
      <c r="A91" s="84"/>
    </row>
    <row r="92" ht="15.75" customHeight="1">
      <c r="A92" s="84"/>
    </row>
    <row r="93" ht="15.75" customHeight="1">
      <c r="A93" s="84"/>
    </row>
    <row r="94" ht="15.75" customHeight="1">
      <c r="A94" s="84"/>
    </row>
    <row r="95" ht="15.75" customHeight="1">
      <c r="A95" s="84"/>
    </row>
    <row r="96" ht="15.75" customHeight="1">
      <c r="A96" s="84"/>
    </row>
    <row r="97" ht="15.75" customHeight="1">
      <c r="A97" s="84"/>
    </row>
    <row r="98" ht="15.75" customHeight="1">
      <c r="A98" s="84"/>
    </row>
    <row r="99" ht="15.75" customHeight="1">
      <c r="A99" s="84"/>
    </row>
    <row r="100" ht="15.75" customHeight="1">
      <c r="A100" s="84"/>
    </row>
    <row r="101" ht="15.75" customHeight="1">
      <c r="A101" s="84"/>
    </row>
    <row r="102" ht="15.75" customHeight="1">
      <c r="A102" s="84"/>
    </row>
    <row r="103" ht="15.75" customHeight="1">
      <c r="A103" s="84"/>
    </row>
    <row r="104" ht="15.75" customHeight="1">
      <c r="A104" s="84"/>
    </row>
    <row r="105" ht="15.75" customHeight="1">
      <c r="A105" s="84"/>
    </row>
    <row r="106" ht="15.75" customHeight="1">
      <c r="A106" s="84"/>
    </row>
    <row r="107" ht="15.75" customHeight="1">
      <c r="A107" s="84"/>
    </row>
    <row r="108" ht="15.75" customHeight="1">
      <c r="A108" s="84"/>
    </row>
    <row r="109" ht="15.75" customHeight="1">
      <c r="A109" s="84"/>
    </row>
    <row r="110" ht="15.75" customHeight="1">
      <c r="A110" s="84"/>
    </row>
    <row r="111" ht="15.75" customHeight="1">
      <c r="A111" s="84"/>
    </row>
    <row r="112" ht="15.75" customHeight="1">
      <c r="A112" s="84"/>
    </row>
    <row r="113" ht="15.75" customHeight="1">
      <c r="A113" s="84"/>
    </row>
    <row r="114" ht="15.75" customHeight="1">
      <c r="A114" s="84"/>
    </row>
    <row r="115" ht="15.75" customHeight="1">
      <c r="A115" s="84"/>
    </row>
    <row r="116" ht="15.75" customHeight="1">
      <c r="A116" s="84"/>
    </row>
    <row r="117" ht="15.75" customHeight="1">
      <c r="A117" s="84"/>
    </row>
    <row r="118" ht="15.75" customHeight="1">
      <c r="A118" s="84"/>
    </row>
    <row r="119" ht="15.75" customHeight="1">
      <c r="A119" s="84"/>
    </row>
    <row r="120" ht="15.75" customHeight="1">
      <c r="A120" s="84"/>
    </row>
    <row r="121" ht="15.75" customHeight="1">
      <c r="A121" s="84"/>
    </row>
    <row r="122" ht="15.75" customHeight="1">
      <c r="A122" s="84"/>
    </row>
    <row r="123" ht="15.75" customHeight="1">
      <c r="A123" s="84"/>
    </row>
    <row r="124" ht="15.75" customHeight="1">
      <c r="A124" s="84"/>
    </row>
    <row r="125" ht="15.75" customHeight="1">
      <c r="A125" s="84"/>
    </row>
    <row r="126" ht="15.75" customHeight="1">
      <c r="A126" s="84"/>
    </row>
    <row r="127" ht="15.75" customHeight="1">
      <c r="A127" s="84"/>
    </row>
    <row r="128" ht="15.75" customHeight="1">
      <c r="A128" s="84"/>
    </row>
    <row r="129" ht="15.75" customHeight="1">
      <c r="A129" s="84"/>
    </row>
    <row r="130" ht="15.75" customHeight="1">
      <c r="A130" s="84"/>
    </row>
    <row r="131" ht="15.75" customHeight="1">
      <c r="A131" s="84"/>
    </row>
    <row r="132" ht="15.75" customHeight="1">
      <c r="A132" s="84"/>
    </row>
    <row r="133" ht="15.75" customHeight="1">
      <c r="A133" s="84"/>
    </row>
    <row r="134" ht="15.75" customHeight="1">
      <c r="A134" s="84"/>
    </row>
    <row r="135" ht="15.75" customHeight="1">
      <c r="A135" s="84"/>
    </row>
    <row r="136" ht="15.75" customHeight="1">
      <c r="A136" s="84"/>
    </row>
    <row r="137" ht="15.75" customHeight="1">
      <c r="A137" s="84"/>
    </row>
    <row r="138" ht="15.75" customHeight="1">
      <c r="A138" s="84"/>
    </row>
    <row r="139" ht="15.75" customHeight="1">
      <c r="A139" s="84"/>
    </row>
    <row r="140" ht="15.75" customHeight="1">
      <c r="A140" s="84"/>
    </row>
    <row r="141" ht="15.75" customHeight="1">
      <c r="A141" s="84"/>
    </row>
    <row r="142" ht="15.75" customHeight="1">
      <c r="A142" s="84"/>
    </row>
    <row r="143" ht="15.75" customHeight="1">
      <c r="A143" s="84"/>
    </row>
    <row r="144" ht="15.75" customHeight="1">
      <c r="A144" s="84"/>
    </row>
    <row r="145" ht="15.75" customHeight="1">
      <c r="A145" s="84"/>
    </row>
    <row r="146" ht="15.75" customHeight="1">
      <c r="A146" s="84"/>
    </row>
    <row r="147" ht="15.75" customHeight="1">
      <c r="A147" s="84"/>
    </row>
    <row r="148" ht="15.75" customHeight="1">
      <c r="A148" s="84"/>
    </row>
    <row r="149" ht="15.75" customHeight="1">
      <c r="A149" s="84"/>
    </row>
    <row r="150" ht="15.75" customHeight="1">
      <c r="A150" s="84"/>
    </row>
    <row r="151" ht="15.75" customHeight="1">
      <c r="A151" s="84"/>
    </row>
    <row r="152" ht="15.75" customHeight="1">
      <c r="A152" s="84"/>
    </row>
    <row r="153" ht="15.75" customHeight="1">
      <c r="A153" s="84"/>
    </row>
    <row r="154" ht="15.75" customHeight="1">
      <c r="A154" s="84"/>
    </row>
    <row r="155" ht="15.75" customHeight="1">
      <c r="A155" s="84"/>
    </row>
    <row r="156" ht="15.75" customHeight="1">
      <c r="A156" s="84"/>
    </row>
    <row r="157" ht="15.75" customHeight="1">
      <c r="A157" s="84"/>
    </row>
    <row r="158" ht="15.75" customHeight="1">
      <c r="A158" s="84"/>
    </row>
    <row r="159" ht="15.75" customHeight="1">
      <c r="A159" s="84"/>
    </row>
    <row r="160" ht="15.75" customHeight="1">
      <c r="A160" s="84"/>
    </row>
    <row r="161" ht="15.75" customHeight="1">
      <c r="A161" s="84"/>
    </row>
    <row r="162" ht="15.75" customHeight="1">
      <c r="A162" s="84"/>
    </row>
    <row r="163" ht="15.75" customHeight="1">
      <c r="A163" s="84"/>
    </row>
    <row r="164" ht="15.75" customHeight="1">
      <c r="A164" s="84"/>
    </row>
    <row r="165" ht="15.75" customHeight="1">
      <c r="A165" s="84"/>
    </row>
    <row r="166" ht="15.75" customHeight="1">
      <c r="A166" s="84"/>
    </row>
    <row r="167" ht="15.75" customHeight="1">
      <c r="A167" s="84"/>
    </row>
    <row r="168" ht="15.75" customHeight="1">
      <c r="A168" s="84"/>
    </row>
    <row r="169" ht="15.75" customHeight="1">
      <c r="A169" s="84"/>
    </row>
    <row r="170" ht="15.75" customHeight="1">
      <c r="A170" s="84"/>
    </row>
    <row r="171" ht="15.75" customHeight="1">
      <c r="A171" s="84"/>
    </row>
    <row r="172" ht="15.75" customHeight="1">
      <c r="A172" s="84"/>
    </row>
    <row r="173" ht="15.75" customHeight="1">
      <c r="A173" s="84"/>
    </row>
    <row r="174" ht="15.75" customHeight="1">
      <c r="A174" s="84"/>
    </row>
    <row r="175" ht="15.75" customHeight="1">
      <c r="A175" s="84"/>
    </row>
    <row r="176" ht="15.75" customHeight="1">
      <c r="A176" s="84"/>
    </row>
    <row r="177" ht="15.75" customHeight="1">
      <c r="A177" s="84"/>
    </row>
    <row r="178" ht="15.75" customHeight="1">
      <c r="A178" s="84"/>
    </row>
    <row r="179" ht="15.75" customHeight="1">
      <c r="A179" s="84"/>
    </row>
    <row r="180" ht="15.75" customHeight="1">
      <c r="A180" s="84"/>
    </row>
    <row r="181" ht="15.75" customHeight="1">
      <c r="A181" s="84"/>
    </row>
    <row r="182" ht="15.75" customHeight="1">
      <c r="A182" s="84"/>
    </row>
    <row r="183" ht="15.75" customHeight="1">
      <c r="A183" s="84"/>
    </row>
    <row r="184" ht="15.75" customHeight="1">
      <c r="A184" s="84"/>
    </row>
    <row r="185" ht="15.75" customHeight="1">
      <c r="A185" s="84"/>
    </row>
    <row r="186" ht="15.75" customHeight="1">
      <c r="A186" s="84"/>
    </row>
    <row r="187" ht="15.75" customHeight="1">
      <c r="A187" s="84"/>
    </row>
    <row r="188" ht="15.75" customHeight="1">
      <c r="A188" s="84"/>
    </row>
    <row r="189" ht="15.75" customHeight="1">
      <c r="A189" s="84"/>
    </row>
    <row r="190" ht="15.75" customHeight="1">
      <c r="A190" s="84"/>
    </row>
    <row r="191" ht="15.75" customHeight="1">
      <c r="A191" s="84"/>
    </row>
    <row r="192" ht="15.75" customHeight="1">
      <c r="A192" s="84"/>
    </row>
    <row r="193" ht="15.75" customHeight="1">
      <c r="A193" s="84"/>
    </row>
    <row r="194" ht="15.75" customHeight="1">
      <c r="A194" s="84"/>
    </row>
    <row r="195" ht="15.75" customHeight="1">
      <c r="A195" s="84"/>
    </row>
    <row r="196" ht="15.75" customHeight="1">
      <c r="A196" s="84"/>
    </row>
    <row r="197" ht="15.75" customHeight="1">
      <c r="A197" s="84"/>
    </row>
    <row r="198" ht="15.75" customHeight="1">
      <c r="A198" s="84"/>
    </row>
    <row r="199" ht="15.75" customHeight="1">
      <c r="A199" s="84"/>
    </row>
    <row r="200" ht="15.75" customHeight="1">
      <c r="A200" s="84"/>
    </row>
    <row r="201" ht="15.75" customHeight="1">
      <c r="A201" s="84"/>
    </row>
    <row r="202" ht="15.75" customHeight="1">
      <c r="A202" s="84"/>
    </row>
    <row r="203" ht="15.75" customHeight="1">
      <c r="A203" s="84"/>
    </row>
    <row r="204" ht="15.75" customHeight="1">
      <c r="A204" s="84"/>
    </row>
    <row r="205" ht="15.75" customHeight="1">
      <c r="A205" s="84"/>
    </row>
    <row r="206" ht="15.75" customHeight="1">
      <c r="A206" s="84"/>
    </row>
    <row r="207" ht="15.75" customHeight="1">
      <c r="A207" s="84"/>
    </row>
    <row r="208" ht="15.75" customHeight="1">
      <c r="A208" s="84"/>
    </row>
    <row r="209" ht="15.75" customHeight="1">
      <c r="A209" s="84"/>
    </row>
    <row r="210" ht="15.75" customHeight="1">
      <c r="A210" s="84"/>
    </row>
    <row r="211" ht="15.75" customHeight="1">
      <c r="A211" s="84"/>
    </row>
    <row r="212" ht="15.75" customHeight="1">
      <c r="A212" s="84"/>
    </row>
    <row r="213" ht="15.75" customHeight="1">
      <c r="A213" s="84"/>
    </row>
    <row r="214" ht="15.75" customHeight="1">
      <c r="A214" s="84"/>
    </row>
    <row r="215" ht="15.75" customHeight="1">
      <c r="A215" s="84"/>
    </row>
    <row r="216" ht="15.75" customHeight="1">
      <c r="A216" s="84"/>
    </row>
    <row r="217" ht="15.75" customHeight="1">
      <c r="A217" s="84"/>
    </row>
    <row r="218" ht="15.75" customHeight="1">
      <c r="A218" s="84"/>
    </row>
    <row r="219" ht="15.75" customHeight="1">
      <c r="A219" s="84"/>
    </row>
    <row r="220" ht="15.75" customHeight="1">
      <c r="A220" s="84"/>
    </row>
    <row r="221" ht="15.75" customHeight="1">
      <c r="A221" s="84"/>
    </row>
    <row r="222" ht="15.75" customHeight="1">
      <c r="A222" s="84"/>
    </row>
    <row r="223" ht="15.75" customHeight="1">
      <c r="A223" s="84"/>
    </row>
    <row r="224" ht="15.75" customHeight="1">
      <c r="A224" s="84"/>
    </row>
    <row r="225" ht="15.75" customHeight="1">
      <c r="A225" s="84"/>
    </row>
    <row r="226" ht="15.75" customHeight="1">
      <c r="A226" s="84"/>
    </row>
    <row r="227" ht="15.75" customHeight="1">
      <c r="A227" s="84"/>
    </row>
    <row r="228" ht="15.75" customHeight="1">
      <c r="A228" s="84"/>
    </row>
    <row r="229" ht="15.75" customHeight="1">
      <c r="A229" s="84"/>
    </row>
    <row r="230" ht="15.75" customHeight="1">
      <c r="A230" s="84"/>
    </row>
    <row r="231" ht="15.75" customHeight="1">
      <c r="A231" s="84"/>
    </row>
    <row r="232" ht="15.75" customHeight="1">
      <c r="A232" s="84"/>
    </row>
    <row r="233" ht="15.75" customHeight="1">
      <c r="A233" s="84"/>
    </row>
    <row r="234" ht="15.75" customHeight="1">
      <c r="A234" s="84"/>
    </row>
    <row r="235" ht="15.75" customHeight="1">
      <c r="A235" s="84"/>
    </row>
    <row r="236" ht="15.75" customHeight="1">
      <c r="A236" s="84"/>
    </row>
    <row r="237" ht="15.75" customHeight="1">
      <c r="A237" s="84"/>
    </row>
    <row r="238" ht="15.75" customHeight="1">
      <c r="A238" s="84"/>
    </row>
    <row r="239" ht="15.75" customHeight="1">
      <c r="A239" s="84"/>
    </row>
    <row r="240" ht="15.75" customHeight="1">
      <c r="A240" s="84"/>
    </row>
    <row r="241" ht="15.75" customHeight="1">
      <c r="A241" s="84"/>
    </row>
    <row r="242" ht="15.75" customHeight="1">
      <c r="A242" s="84"/>
    </row>
    <row r="243" ht="15.75" customHeight="1">
      <c r="A243" s="84"/>
    </row>
    <row r="244" ht="15.75" customHeight="1">
      <c r="A244" s="84"/>
    </row>
    <row r="245" ht="15.75" customHeight="1">
      <c r="A245" s="84"/>
    </row>
    <row r="246" ht="15.75" customHeight="1">
      <c r="A246" s="84"/>
    </row>
    <row r="247" ht="15.75" customHeight="1">
      <c r="A247" s="84"/>
    </row>
    <row r="248" ht="15.75" customHeight="1">
      <c r="A248" s="84"/>
    </row>
    <row r="249" ht="15.75" customHeight="1">
      <c r="A249" s="84"/>
    </row>
    <row r="250" ht="15.75" customHeight="1">
      <c r="A250" s="84"/>
    </row>
    <row r="251" ht="15.75" customHeight="1">
      <c r="A251" s="84"/>
    </row>
    <row r="252" ht="15.75" customHeight="1">
      <c r="A252" s="84"/>
    </row>
    <row r="253" ht="15.75" customHeight="1">
      <c r="A253" s="84"/>
    </row>
    <row r="254" ht="15.75" customHeight="1">
      <c r="A254" s="84"/>
    </row>
    <row r="255" ht="15.75" customHeight="1">
      <c r="A255" s="84"/>
    </row>
    <row r="256" ht="15.75" customHeight="1">
      <c r="A256" s="84"/>
    </row>
    <row r="257" ht="15.75" customHeight="1">
      <c r="A257" s="84"/>
    </row>
    <row r="258" ht="15.75" customHeight="1">
      <c r="A258" s="84"/>
    </row>
    <row r="259" ht="15.75" customHeight="1">
      <c r="A259" s="84"/>
    </row>
    <row r="260" ht="15.75" customHeight="1">
      <c r="A260" s="84"/>
    </row>
    <row r="261" ht="15.75" customHeight="1">
      <c r="A261" s="84"/>
    </row>
    <row r="262" ht="15.75" customHeight="1">
      <c r="A262" s="84"/>
    </row>
    <row r="263" ht="15.75" customHeight="1">
      <c r="A263" s="84"/>
    </row>
    <row r="264" ht="15.75" customHeight="1">
      <c r="A264" s="84"/>
    </row>
    <row r="265" ht="15.75" customHeight="1">
      <c r="A265" s="84"/>
    </row>
    <row r="266" ht="15.75" customHeight="1">
      <c r="A266" s="84"/>
    </row>
    <row r="267" ht="15.75" customHeight="1">
      <c r="A267" s="84"/>
    </row>
    <row r="268" ht="15.75" customHeight="1">
      <c r="A268" s="84"/>
    </row>
    <row r="269" ht="15.75" customHeight="1">
      <c r="A269" s="84"/>
    </row>
    <row r="270" ht="15.75" customHeight="1">
      <c r="A270" s="84"/>
    </row>
    <row r="271" ht="15.75" customHeight="1">
      <c r="A271" s="84"/>
    </row>
    <row r="272" ht="15.75" customHeight="1">
      <c r="A272" s="84"/>
    </row>
    <row r="273" ht="15.75" customHeight="1">
      <c r="A273" s="84"/>
    </row>
    <row r="274" ht="15.75" customHeight="1">
      <c r="A274" s="84"/>
    </row>
    <row r="275" ht="15.75" customHeight="1">
      <c r="A275" s="84"/>
    </row>
    <row r="276" ht="15.75" customHeight="1">
      <c r="A276" s="84"/>
    </row>
    <row r="277" ht="15.75" customHeight="1">
      <c r="A277" s="84"/>
    </row>
    <row r="278" ht="15.75" customHeight="1">
      <c r="A278" s="84"/>
    </row>
    <row r="279" ht="15.75" customHeight="1">
      <c r="A279" s="84"/>
    </row>
    <row r="280" ht="15.75" customHeight="1">
      <c r="A280" s="84"/>
    </row>
    <row r="281" ht="15.75" customHeight="1">
      <c r="A281" s="84"/>
    </row>
    <row r="282" ht="15.75" customHeight="1">
      <c r="A282" s="84"/>
    </row>
    <row r="283" ht="15.75" customHeight="1">
      <c r="A283" s="84"/>
    </row>
    <row r="284" ht="15.75" customHeight="1">
      <c r="A284" s="84"/>
    </row>
    <row r="285" ht="15.75" customHeight="1">
      <c r="A285" s="84"/>
    </row>
    <row r="286" ht="15.75" customHeight="1">
      <c r="A286" s="84"/>
    </row>
    <row r="287" ht="15.75" customHeight="1">
      <c r="A287" s="84"/>
    </row>
    <row r="288" ht="15.75" customHeight="1">
      <c r="A288" s="84"/>
    </row>
    <row r="289" ht="15.75" customHeight="1">
      <c r="A289" s="84"/>
    </row>
    <row r="290" ht="15.75" customHeight="1">
      <c r="A290" s="84"/>
    </row>
    <row r="291" ht="15.75" customHeight="1">
      <c r="A291" s="84"/>
    </row>
    <row r="292" ht="15.75" customHeight="1">
      <c r="A292" s="84"/>
    </row>
    <row r="293" ht="15.75" customHeight="1">
      <c r="A293" s="84"/>
    </row>
    <row r="294" ht="15.75" customHeight="1">
      <c r="A294" s="84"/>
    </row>
    <row r="295" ht="15.75" customHeight="1">
      <c r="A295" s="84"/>
    </row>
    <row r="296" ht="15.75" customHeight="1">
      <c r="A296" s="84"/>
    </row>
    <row r="297" ht="15.75" customHeight="1">
      <c r="A297" s="84"/>
    </row>
    <row r="298" ht="15.75" customHeight="1">
      <c r="A298" s="84"/>
    </row>
    <row r="299" ht="15.75" customHeight="1">
      <c r="A299" s="84"/>
    </row>
    <row r="300" ht="15.75" customHeight="1">
      <c r="A300" s="84"/>
    </row>
    <row r="301" ht="15.75" customHeight="1">
      <c r="A301" s="84"/>
    </row>
    <row r="302" ht="15.75" customHeight="1">
      <c r="A302" s="84"/>
    </row>
    <row r="303" ht="15.75" customHeight="1">
      <c r="A303" s="84"/>
    </row>
    <row r="304" ht="15.75" customHeight="1">
      <c r="A304" s="84"/>
    </row>
    <row r="305" ht="15.75" customHeight="1">
      <c r="A305" s="84"/>
    </row>
    <row r="306" ht="15.75" customHeight="1">
      <c r="A306" s="84"/>
    </row>
    <row r="307" ht="15.75" customHeight="1">
      <c r="A307" s="84"/>
    </row>
    <row r="308" ht="15.75" customHeight="1">
      <c r="A308" s="84"/>
    </row>
    <row r="309" ht="15.75" customHeight="1">
      <c r="A309" s="84"/>
    </row>
    <row r="310" ht="15.75" customHeight="1">
      <c r="A310" s="84"/>
    </row>
    <row r="311" ht="15.75" customHeight="1">
      <c r="A311" s="84"/>
    </row>
    <row r="312" ht="15.75" customHeight="1">
      <c r="A312" s="84"/>
    </row>
    <row r="313" ht="15.75" customHeight="1">
      <c r="A313" s="84"/>
    </row>
    <row r="314" ht="15.75" customHeight="1">
      <c r="A314" s="84"/>
    </row>
    <row r="315" ht="15.75" customHeight="1">
      <c r="A315" s="84"/>
    </row>
    <row r="316" ht="15.75" customHeight="1">
      <c r="A316" s="84"/>
    </row>
    <row r="317" ht="15.75" customHeight="1">
      <c r="A317" s="84"/>
    </row>
    <row r="318" ht="15.75" customHeight="1">
      <c r="A318" s="84"/>
    </row>
    <row r="319" ht="15.75" customHeight="1">
      <c r="A319" s="84"/>
    </row>
    <row r="320" ht="15.75" customHeight="1">
      <c r="A320" s="84"/>
    </row>
    <row r="321" ht="15.75" customHeight="1">
      <c r="A321" s="84"/>
    </row>
    <row r="322" ht="15.75" customHeight="1">
      <c r="A322" s="84"/>
    </row>
    <row r="323" ht="15.75" customHeight="1">
      <c r="A323" s="84"/>
    </row>
    <row r="324" ht="15.75" customHeight="1">
      <c r="A324" s="84"/>
    </row>
    <row r="325" ht="15.75" customHeight="1">
      <c r="A325" s="84"/>
    </row>
    <row r="326" ht="15.75" customHeight="1">
      <c r="A326" s="84"/>
    </row>
    <row r="327" ht="15.75" customHeight="1">
      <c r="A327" s="84"/>
    </row>
    <row r="328" ht="15.75" customHeight="1">
      <c r="A328" s="84"/>
    </row>
    <row r="329" ht="15.75" customHeight="1">
      <c r="A329" s="84"/>
    </row>
    <row r="330" ht="15.75" customHeight="1">
      <c r="A330" s="84"/>
    </row>
    <row r="331" ht="15.75" customHeight="1">
      <c r="A331" s="84"/>
    </row>
    <row r="332" ht="15.75" customHeight="1">
      <c r="A332" s="84"/>
    </row>
    <row r="333" ht="15.75" customHeight="1">
      <c r="A333" s="84"/>
    </row>
    <row r="334" ht="15.75" customHeight="1">
      <c r="A334" s="84"/>
    </row>
    <row r="335" ht="15.75" customHeight="1">
      <c r="A335" s="84"/>
    </row>
    <row r="336" ht="15.75" customHeight="1">
      <c r="A336" s="84"/>
    </row>
    <row r="337" ht="15.75" customHeight="1">
      <c r="A337" s="84"/>
    </row>
    <row r="338" ht="15.75" customHeight="1">
      <c r="A338" s="84"/>
    </row>
    <row r="339" ht="15.75" customHeight="1">
      <c r="A339" s="84"/>
    </row>
    <row r="340" ht="15.75" customHeight="1">
      <c r="A340" s="84"/>
    </row>
    <row r="341" ht="15.75" customHeight="1">
      <c r="A341" s="84"/>
    </row>
    <row r="342" ht="15.75" customHeight="1">
      <c r="A342" s="84"/>
    </row>
    <row r="343" ht="15.75" customHeight="1">
      <c r="A343" s="84"/>
    </row>
    <row r="344" ht="15.75" customHeight="1">
      <c r="A344" s="84"/>
    </row>
    <row r="345" ht="15.75" customHeight="1">
      <c r="A345" s="84"/>
    </row>
    <row r="346" ht="15.75" customHeight="1">
      <c r="A346" s="84"/>
    </row>
    <row r="347" ht="15.75" customHeight="1">
      <c r="A347" s="84"/>
    </row>
    <row r="348" ht="15.75" customHeight="1">
      <c r="A348" s="84"/>
    </row>
    <row r="349" ht="15.75" customHeight="1">
      <c r="A349" s="84"/>
    </row>
    <row r="350" ht="15.75" customHeight="1">
      <c r="A350" s="84"/>
    </row>
    <row r="351" ht="15.75" customHeight="1">
      <c r="A351" s="84"/>
    </row>
    <row r="352" ht="15.75" customHeight="1">
      <c r="A352" s="84"/>
    </row>
    <row r="353" ht="15.75" customHeight="1">
      <c r="A353" s="84"/>
    </row>
    <row r="354" ht="15.75" customHeight="1">
      <c r="A354" s="84"/>
    </row>
    <row r="355" ht="15.75" customHeight="1">
      <c r="A355" s="84"/>
    </row>
    <row r="356" ht="15.75" customHeight="1">
      <c r="A356" s="84"/>
    </row>
    <row r="357" ht="15.75" customHeight="1">
      <c r="A357" s="84"/>
    </row>
    <row r="358" ht="15.75" customHeight="1">
      <c r="A358" s="84"/>
    </row>
    <row r="359" ht="15.75" customHeight="1">
      <c r="A359" s="84"/>
    </row>
    <row r="360" ht="15.75" customHeight="1">
      <c r="A360" s="84"/>
    </row>
    <row r="361" ht="15.75" customHeight="1">
      <c r="A361" s="84"/>
    </row>
    <row r="362" ht="15.75" customHeight="1">
      <c r="A362" s="84"/>
    </row>
    <row r="363" ht="15.75" customHeight="1">
      <c r="A363" s="84"/>
    </row>
    <row r="364" ht="15.75" customHeight="1">
      <c r="A364" s="84"/>
    </row>
    <row r="365" ht="15.75" customHeight="1">
      <c r="A365" s="84"/>
    </row>
    <row r="366" ht="15.75" customHeight="1">
      <c r="A366" s="84"/>
    </row>
    <row r="367" ht="15.75" customHeight="1">
      <c r="A367" s="84"/>
    </row>
    <row r="368" ht="15.75" customHeight="1">
      <c r="A368" s="84"/>
    </row>
    <row r="369" ht="15.75" customHeight="1">
      <c r="A369" s="84"/>
    </row>
    <row r="370" ht="15.75" customHeight="1">
      <c r="A370" s="84"/>
    </row>
    <row r="371" ht="15.75" customHeight="1">
      <c r="A371" s="84"/>
    </row>
    <row r="372" ht="15.75" customHeight="1">
      <c r="A372" s="84"/>
    </row>
    <row r="373" ht="15.75" customHeight="1">
      <c r="A373" s="84"/>
    </row>
    <row r="374" ht="15.75" customHeight="1">
      <c r="A374" s="84"/>
    </row>
    <row r="375" ht="15.75" customHeight="1">
      <c r="A375" s="84"/>
    </row>
    <row r="376" ht="15.75" customHeight="1">
      <c r="A376" s="84"/>
    </row>
    <row r="377" ht="15.75" customHeight="1">
      <c r="A377" s="84"/>
    </row>
    <row r="378" ht="15.75" customHeight="1">
      <c r="A378" s="84"/>
    </row>
    <row r="379" ht="15.75" customHeight="1">
      <c r="A379" s="84"/>
    </row>
    <row r="380" ht="15.75" customHeight="1">
      <c r="A380" s="84"/>
    </row>
    <row r="381" ht="15.75" customHeight="1">
      <c r="A381" s="84"/>
    </row>
    <row r="382" ht="15.75" customHeight="1">
      <c r="A382" s="84"/>
    </row>
    <row r="383" ht="15.75" customHeight="1">
      <c r="A383" s="84"/>
    </row>
    <row r="384" ht="15.75" customHeight="1">
      <c r="A384" s="84"/>
    </row>
    <row r="385" ht="15.75" customHeight="1">
      <c r="A385" s="84"/>
    </row>
    <row r="386" ht="15.75" customHeight="1">
      <c r="A386" s="84"/>
    </row>
    <row r="387" ht="15.75" customHeight="1">
      <c r="A387" s="84"/>
    </row>
    <row r="388" ht="15.75" customHeight="1">
      <c r="A388" s="84"/>
    </row>
    <row r="389" ht="15.75" customHeight="1">
      <c r="A389" s="84"/>
    </row>
    <row r="390" ht="15.75" customHeight="1">
      <c r="A390" s="84"/>
    </row>
    <row r="391" ht="15.75" customHeight="1">
      <c r="A391" s="84"/>
    </row>
    <row r="392" ht="15.75" customHeight="1">
      <c r="A392" s="84"/>
    </row>
    <row r="393" ht="15.75" customHeight="1">
      <c r="A393" s="84"/>
    </row>
    <row r="394" ht="15.75" customHeight="1">
      <c r="A394" s="84"/>
    </row>
    <row r="395" ht="15.75" customHeight="1">
      <c r="A395" s="84"/>
    </row>
    <row r="396" ht="15.75" customHeight="1">
      <c r="A396" s="84"/>
    </row>
    <row r="397" ht="15.75" customHeight="1">
      <c r="A397" s="84"/>
    </row>
    <row r="398" ht="15.75" customHeight="1">
      <c r="A398" s="84"/>
    </row>
    <row r="399" ht="15.75" customHeight="1">
      <c r="A399" s="84"/>
    </row>
    <row r="400" ht="15.75" customHeight="1">
      <c r="A400" s="84"/>
    </row>
    <row r="401" ht="15.75" customHeight="1">
      <c r="A401" s="84"/>
    </row>
    <row r="402" ht="15.75" customHeight="1">
      <c r="A402" s="84"/>
    </row>
    <row r="403" ht="15.75" customHeight="1">
      <c r="A403" s="84"/>
    </row>
    <row r="404" ht="15.75" customHeight="1">
      <c r="A404" s="84"/>
    </row>
    <row r="405" ht="15.75" customHeight="1">
      <c r="A405" s="84"/>
    </row>
    <row r="406" ht="15.75" customHeight="1">
      <c r="A406" s="84"/>
    </row>
    <row r="407" ht="15.75" customHeight="1">
      <c r="A407" s="84"/>
    </row>
    <row r="408" ht="15.75" customHeight="1">
      <c r="A408" s="84"/>
    </row>
    <row r="409" ht="15.75" customHeight="1">
      <c r="A409" s="84"/>
    </row>
    <row r="410" ht="15.75" customHeight="1">
      <c r="A410" s="84"/>
    </row>
    <row r="411" ht="15.75" customHeight="1">
      <c r="A411" s="84"/>
    </row>
    <row r="412" ht="15.75" customHeight="1">
      <c r="A412" s="84"/>
    </row>
    <row r="413" ht="15.75" customHeight="1">
      <c r="A413" s="84"/>
    </row>
    <row r="414" ht="15.75" customHeight="1">
      <c r="A414" s="84"/>
    </row>
    <row r="415" ht="15.75" customHeight="1">
      <c r="A415" s="84"/>
    </row>
    <row r="416" ht="15.75" customHeight="1">
      <c r="A416" s="84"/>
    </row>
    <row r="417" ht="15.75" customHeight="1">
      <c r="A417" s="84"/>
    </row>
    <row r="418" ht="15.75" customHeight="1">
      <c r="A418" s="84"/>
    </row>
    <row r="419" ht="15.75" customHeight="1">
      <c r="A419" s="84"/>
    </row>
    <row r="420" ht="15.75" customHeight="1">
      <c r="A420" s="84"/>
    </row>
    <row r="421" ht="15.75" customHeight="1">
      <c r="A421" s="84"/>
    </row>
    <row r="422" ht="15.75" customHeight="1">
      <c r="A422" s="84"/>
    </row>
    <row r="423" ht="15.75" customHeight="1">
      <c r="A423" s="84"/>
    </row>
    <row r="424" ht="15.75" customHeight="1">
      <c r="A424" s="84"/>
    </row>
    <row r="425" ht="15.75" customHeight="1">
      <c r="A425" s="84"/>
    </row>
    <row r="426" ht="15.75" customHeight="1">
      <c r="A426" s="84"/>
    </row>
    <row r="427" ht="15.75" customHeight="1">
      <c r="A427" s="84"/>
    </row>
    <row r="428" ht="15.75" customHeight="1">
      <c r="A428" s="84"/>
    </row>
    <row r="429" ht="15.75" customHeight="1">
      <c r="A429" s="84"/>
    </row>
    <row r="430" ht="15.75" customHeight="1">
      <c r="A430" s="84"/>
    </row>
    <row r="431" ht="15.75" customHeight="1">
      <c r="A431" s="84"/>
    </row>
    <row r="432" ht="15.75" customHeight="1">
      <c r="A432" s="84"/>
    </row>
    <row r="433" ht="15.75" customHeight="1">
      <c r="A433" s="84"/>
    </row>
    <row r="434" ht="15.75" customHeight="1">
      <c r="A434" s="84"/>
    </row>
    <row r="435" ht="15.75" customHeight="1">
      <c r="A435" s="84"/>
    </row>
    <row r="436" ht="15.75" customHeight="1">
      <c r="A436" s="84"/>
    </row>
    <row r="437" ht="15.75" customHeight="1">
      <c r="A437" s="84"/>
    </row>
    <row r="438" ht="15.75" customHeight="1">
      <c r="A438" s="84"/>
    </row>
    <row r="439" ht="15.75" customHeight="1">
      <c r="A439" s="84"/>
    </row>
    <row r="440" ht="15.75" customHeight="1">
      <c r="A440" s="84"/>
    </row>
    <row r="441" ht="15.75" customHeight="1">
      <c r="A441" s="84"/>
    </row>
    <row r="442" ht="15.75" customHeight="1">
      <c r="A442" s="84"/>
    </row>
    <row r="443" ht="15.75" customHeight="1">
      <c r="A443" s="84"/>
    </row>
    <row r="444" ht="15.75" customHeight="1">
      <c r="A444" s="84"/>
    </row>
    <row r="445" ht="15.75" customHeight="1">
      <c r="A445" s="84"/>
    </row>
    <row r="446" ht="15.75" customHeight="1">
      <c r="A446" s="84"/>
    </row>
    <row r="447" ht="15.75" customHeight="1">
      <c r="A447" s="84"/>
    </row>
    <row r="448" ht="15.75" customHeight="1">
      <c r="A448" s="84"/>
    </row>
    <row r="449" ht="15.75" customHeight="1">
      <c r="A449" s="84"/>
    </row>
    <row r="450" ht="15.75" customHeight="1">
      <c r="A450" s="84"/>
    </row>
    <row r="451" ht="15.75" customHeight="1">
      <c r="A451" s="84"/>
    </row>
    <row r="452" ht="15.75" customHeight="1">
      <c r="A452" s="84"/>
    </row>
    <row r="453" ht="15.75" customHeight="1">
      <c r="A453" s="84"/>
    </row>
    <row r="454" ht="15.75" customHeight="1">
      <c r="A454" s="84"/>
    </row>
    <row r="455" ht="15.75" customHeight="1">
      <c r="A455" s="84"/>
    </row>
    <row r="456" ht="15.75" customHeight="1">
      <c r="A456" s="84"/>
    </row>
    <row r="457" ht="15.75" customHeight="1">
      <c r="A457" s="84"/>
    </row>
    <row r="458" ht="15.75" customHeight="1">
      <c r="A458" s="84"/>
    </row>
    <row r="459" ht="15.75" customHeight="1">
      <c r="A459" s="84"/>
    </row>
    <row r="460" ht="15.75" customHeight="1">
      <c r="A460" s="84"/>
    </row>
    <row r="461" ht="15.75" customHeight="1">
      <c r="A461" s="84"/>
    </row>
    <row r="462" ht="15.75" customHeight="1">
      <c r="A462" s="84"/>
    </row>
    <row r="463" ht="15.75" customHeight="1">
      <c r="A463" s="84"/>
    </row>
    <row r="464" ht="15.75" customHeight="1">
      <c r="A464" s="84"/>
    </row>
    <row r="465" ht="15.75" customHeight="1">
      <c r="A465" s="84"/>
    </row>
    <row r="466" ht="15.75" customHeight="1">
      <c r="A466" s="84"/>
    </row>
    <row r="467" ht="15.75" customHeight="1">
      <c r="A467" s="84"/>
    </row>
    <row r="468" ht="15.75" customHeight="1">
      <c r="A468" s="84"/>
    </row>
    <row r="469" ht="15.75" customHeight="1">
      <c r="A469" s="84"/>
    </row>
    <row r="470" ht="15.75" customHeight="1">
      <c r="A470" s="84"/>
    </row>
    <row r="471" ht="15.75" customHeight="1">
      <c r="A471" s="84"/>
    </row>
    <row r="472" ht="15.75" customHeight="1">
      <c r="A472" s="84"/>
    </row>
    <row r="473" ht="15.75" customHeight="1">
      <c r="A473" s="84"/>
    </row>
    <row r="474" ht="15.75" customHeight="1">
      <c r="A474" s="84"/>
    </row>
    <row r="475" ht="15.75" customHeight="1">
      <c r="A475" s="84"/>
    </row>
    <row r="476" ht="15.75" customHeight="1">
      <c r="A476" s="84"/>
    </row>
    <row r="477" ht="15.75" customHeight="1">
      <c r="A477" s="84"/>
    </row>
    <row r="478" ht="15.75" customHeight="1">
      <c r="A478" s="84"/>
    </row>
    <row r="479" ht="15.75" customHeight="1">
      <c r="A479" s="84"/>
    </row>
    <row r="480" ht="15.75" customHeight="1">
      <c r="A480" s="84"/>
    </row>
    <row r="481" ht="15.75" customHeight="1">
      <c r="A481" s="84"/>
    </row>
    <row r="482" ht="15.75" customHeight="1">
      <c r="A482" s="84"/>
    </row>
    <row r="483" ht="15.75" customHeight="1">
      <c r="A483" s="84"/>
    </row>
    <row r="484" ht="15.75" customHeight="1">
      <c r="A484" s="84"/>
    </row>
    <row r="485" ht="15.75" customHeight="1">
      <c r="A485" s="84"/>
    </row>
    <row r="486" ht="15.75" customHeight="1">
      <c r="A486" s="84"/>
    </row>
    <row r="487" ht="15.75" customHeight="1">
      <c r="A487" s="84"/>
    </row>
    <row r="488" ht="15.75" customHeight="1">
      <c r="A488" s="84"/>
    </row>
    <row r="489" ht="15.75" customHeight="1">
      <c r="A489" s="84"/>
    </row>
    <row r="490" ht="15.75" customHeight="1">
      <c r="A490" s="84"/>
    </row>
    <row r="491" ht="15.75" customHeight="1">
      <c r="A491" s="84"/>
    </row>
    <row r="492" ht="15.75" customHeight="1">
      <c r="A492" s="84"/>
    </row>
    <row r="493" ht="15.75" customHeight="1">
      <c r="A493" s="84"/>
    </row>
    <row r="494" ht="15.75" customHeight="1">
      <c r="A494" s="84"/>
    </row>
    <row r="495" ht="15.75" customHeight="1">
      <c r="A495" s="84"/>
    </row>
    <row r="496" ht="15.75" customHeight="1">
      <c r="A496" s="84"/>
    </row>
    <row r="497" ht="15.75" customHeight="1">
      <c r="A497" s="84"/>
    </row>
    <row r="498" ht="15.75" customHeight="1">
      <c r="A498" s="84"/>
    </row>
    <row r="499" ht="15.75" customHeight="1">
      <c r="A499" s="84"/>
    </row>
    <row r="500" ht="15.75" customHeight="1">
      <c r="A500" s="84"/>
    </row>
    <row r="501" ht="15.75" customHeight="1">
      <c r="A501" s="84"/>
    </row>
    <row r="502" ht="15.75" customHeight="1">
      <c r="A502" s="84"/>
    </row>
    <row r="503" ht="15.75" customHeight="1">
      <c r="A503" s="84"/>
    </row>
    <row r="504" ht="15.75" customHeight="1">
      <c r="A504" s="84"/>
    </row>
    <row r="505" ht="15.75" customHeight="1">
      <c r="A505" s="84"/>
    </row>
    <row r="506" ht="15.75" customHeight="1">
      <c r="A506" s="84"/>
    </row>
    <row r="507" ht="15.75" customHeight="1">
      <c r="A507" s="84"/>
    </row>
    <row r="508" ht="15.75" customHeight="1">
      <c r="A508" s="84"/>
    </row>
    <row r="509" ht="15.75" customHeight="1">
      <c r="A509" s="84"/>
    </row>
    <row r="510" ht="15.75" customHeight="1">
      <c r="A510" s="84"/>
    </row>
    <row r="511" ht="15.75" customHeight="1">
      <c r="A511" s="84"/>
    </row>
    <row r="512" ht="15.75" customHeight="1">
      <c r="A512" s="84"/>
    </row>
    <row r="513" ht="15.75" customHeight="1">
      <c r="A513" s="84"/>
    </row>
    <row r="514" ht="15.75" customHeight="1">
      <c r="A514" s="84"/>
    </row>
    <row r="515" ht="15.75" customHeight="1">
      <c r="A515" s="84"/>
    </row>
    <row r="516" ht="15.75" customHeight="1">
      <c r="A516" s="84"/>
    </row>
    <row r="517" ht="15.75" customHeight="1">
      <c r="A517" s="84"/>
    </row>
    <row r="518" ht="15.75" customHeight="1">
      <c r="A518" s="84"/>
    </row>
    <row r="519" ht="15.75" customHeight="1">
      <c r="A519" s="84"/>
    </row>
    <row r="520" ht="15.75" customHeight="1">
      <c r="A520" s="84"/>
    </row>
    <row r="521" ht="15.75" customHeight="1">
      <c r="A521" s="84"/>
    </row>
    <row r="522" ht="15.75" customHeight="1">
      <c r="A522" s="84"/>
    </row>
    <row r="523" ht="15.75" customHeight="1">
      <c r="A523" s="84"/>
    </row>
    <row r="524" ht="15.75" customHeight="1">
      <c r="A524" s="84"/>
    </row>
    <row r="525" ht="15.75" customHeight="1">
      <c r="A525" s="84"/>
    </row>
    <row r="526" ht="15.75" customHeight="1">
      <c r="A526" s="84"/>
    </row>
    <row r="527" ht="15.75" customHeight="1">
      <c r="A527" s="84"/>
    </row>
    <row r="528" ht="15.75" customHeight="1">
      <c r="A528" s="84"/>
    </row>
    <row r="529" ht="15.75" customHeight="1">
      <c r="A529" s="84"/>
    </row>
    <row r="530" ht="15.75" customHeight="1">
      <c r="A530" s="84"/>
    </row>
    <row r="531" ht="15.75" customHeight="1">
      <c r="A531" s="84"/>
    </row>
    <row r="532" ht="15.75" customHeight="1">
      <c r="A532" s="84"/>
    </row>
    <row r="533" ht="15.75" customHeight="1">
      <c r="A533" s="84"/>
    </row>
    <row r="534" ht="15.75" customHeight="1">
      <c r="A534" s="84"/>
    </row>
    <row r="535" ht="15.75" customHeight="1">
      <c r="A535" s="84"/>
    </row>
    <row r="536" ht="15.75" customHeight="1">
      <c r="A536" s="84"/>
    </row>
    <row r="537" ht="15.75" customHeight="1">
      <c r="A537" s="84"/>
    </row>
    <row r="538" ht="15.75" customHeight="1">
      <c r="A538" s="84"/>
    </row>
    <row r="539" ht="15.75" customHeight="1">
      <c r="A539" s="84"/>
    </row>
    <row r="540" ht="15.75" customHeight="1">
      <c r="A540" s="84"/>
    </row>
    <row r="541" ht="15.75" customHeight="1">
      <c r="A541" s="84"/>
    </row>
    <row r="542" ht="15.75" customHeight="1">
      <c r="A542" s="84"/>
    </row>
    <row r="543" ht="15.75" customHeight="1">
      <c r="A543" s="84"/>
    </row>
    <row r="544" ht="15.75" customHeight="1">
      <c r="A544" s="84"/>
    </row>
    <row r="545" ht="15.75" customHeight="1">
      <c r="A545" s="84"/>
    </row>
    <row r="546" ht="15.75" customHeight="1">
      <c r="A546" s="84"/>
    </row>
    <row r="547" ht="15.75" customHeight="1">
      <c r="A547" s="84"/>
    </row>
    <row r="548" ht="15.75" customHeight="1">
      <c r="A548" s="84"/>
    </row>
    <row r="549" ht="15.75" customHeight="1">
      <c r="A549" s="84"/>
    </row>
    <row r="550" ht="15.75" customHeight="1">
      <c r="A550" s="84"/>
    </row>
    <row r="551" ht="15.75" customHeight="1">
      <c r="A551" s="84"/>
    </row>
    <row r="552" ht="15.75" customHeight="1">
      <c r="A552" s="84"/>
    </row>
    <row r="553" ht="15.75" customHeight="1">
      <c r="A553" s="84"/>
    </row>
    <row r="554" ht="15.75" customHeight="1">
      <c r="A554" s="84"/>
    </row>
    <row r="555" ht="15.75" customHeight="1">
      <c r="A555" s="84"/>
    </row>
    <row r="556" ht="15.75" customHeight="1">
      <c r="A556" s="84"/>
    </row>
    <row r="557" ht="15.75" customHeight="1">
      <c r="A557" s="84"/>
    </row>
    <row r="558" ht="15.75" customHeight="1">
      <c r="A558" s="84"/>
    </row>
    <row r="559" ht="15.75" customHeight="1">
      <c r="A559" s="84"/>
    </row>
    <row r="560" ht="15.75" customHeight="1">
      <c r="A560" s="84"/>
    </row>
    <row r="561" ht="15.75" customHeight="1">
      <c r="A561" s="84"/>
    </row>
    <row r="562" ht="15.75" customHeight="1">
      <c r="A562" s="84"/>
    </row>
    <row r="563" ht="15.75" customHeight="1">
      <c r="A563" s="84"/>
    </row>
    <row r="564" ht="15.75" customHeight="1">
      <c r="A564" s="84"/>
    </row>
    <row r="565" ht="15.75" customHeight="1">
      <c r="A565" s="84"/>
    </row>
    <row r="566" ht="15.75" customHeight="1">
      <c r="A566" s="84"/>
    </row>
    <row r="567" ht="15.75" customHeight="1">
      <c r="A567" s="84"/>
    </row>
    <row r="568" ht="15.75" customHeight="1">
      <c r="A568" s="84"/>
    </row>
    <row r="569" ht="15.75" customHeight="1">
      <c r="A569" s="84"/>
    </row>
    <row r="570" ht="15.75" customHeight="1">
      <c r="A570" s="84"/>
    </row>
    <row r="571" ht="15.75" customHeight="1">
      <c r="A571" s="84"/>
    </row>
    <row r="572" ht="15.75" customHeight="1">
      <c r="A572" s="84"/>
    </row>
    <row r="573" ht="15.75" customHeight="1">
      <c r="A573" s="84"/>
    </row>
    <row r="574" ht="15.75" customHeight="1">
      <c r="A574" s="84"/>
    </row>
    <row r="575" ht="15.75" customHeight="1">
      <c r="A575" s="84"/>
    </row>
    <row r="576" ht="15.75" customHeight="1">
      <c r="A576" s="84"/>
    </row>
    <row r="577" ht="15.75" customHeight="1">
      <c r="A577" s="84"/>
    </row>
    <row r="578" ht="15.75" customHeight="1">
      <c r="A578" s="84"/>
    </row>
    <row r="579" ht="15.75" customHeight="1">
      <c r="A579" s="84"/>
    </row>
    <row r="580" ht="15.75" customHeight="1">
      <c r="A580" s="84"/>
    </row>
    <row r="581" ht="15.75" customHeight="1">
      <c r="A581" s="84"/>
    </row>
    <row r="582" ht="15.75" customHeight="1">
      <c r="A582" s="84"/>
    </row>
    <row r="583" ht="15.75" customHeight="1">
      <c r="A583" s="84"/>
    </row>
    <row r="584" ht="15.75" customHeight="1">
      <c r="A584" s="84"/>
    </row>
    <row r="585" ht="15.75" customHeight="1">
      <c r="A585" s="84"/>
    </row>
    <row r="586" ht="15.75" customHeight="1">
      <c r="A586" s="84"/>
    </row>
    <row r="587" ht="15.75" customHeight="1">
      <c r="A587" s="84"/>
    </row>
    <row r="588" ht="15.75" customHeight="1">
      <c r="A588" s="84"/>
    </row>
    <row r="589" ht="15.75" customHeight="1">
      <c r="A589" s="84"/>
    </row>
    <row r="590" ht="15.75" customHeight="1">
      <c r="A590" s="84"/>
    </row>
    <row r="591" ht="15.75" customHeight="1">
      <c r="A591" s="84"/>
    </row>
    <row r="592" ht="15.75" customHeight="1">
      <c r="A592" s="84"/>
    </row>
    <row r="593" ht="15.75" customHeight="1">
      <c r="A593" s="84"/>
    </row>
    <row r="594" ht="15.75" customHeight="1">
      <c r="A594" s="84"/>
    </row>
    <row r="595" ht="15.75" customHeight="1">
      <c r="A595" s="84"/>
    </row>
    <row r="596" ht="15.75" customHeight="1">
      <c r="A596" s="84"/>
    </row>
    <row r="597" ht="15.75" customHeight="1">
      <c r="A597" s="84"/>
    </row>
    <row r="598" ht="15.75" customHeight="1">
      <c r="A598" s="84"/>
    </row>
    <row r="599" ht="15.75" customHeight="1">
      <c r="A599" s="84"/>
    </row>
    <row r="600" ht="15.75" customHeight="1">
      <c r="A600" s="84"/>
    </row>
    <row r="601" ht="15.75" customHeight="1">
      <c r="A601" s="84"/>
    </row>
    <row r="602" ht="15.75" customHeight="1">
      <c r="A602" s="84"/>
    </row>
    <row r="603" ht="15.75" customHeight="1">
      <c r="A603" s="84"/>
    </row>
    <row r="604" ht="15.75" customHeight="1">
      <c r="A604" s="84"/>
    </row>
    <row r="605" ht="15.75" customHeight="1">
      <c r="A605" s="84"/>
    </row>
    <row r="606" ht="15.75" customHeight="1">
      <c r="A606" s="84"/>
    </row>
    <row r="607" ht="15.75" customHeight="1">
      <c r="A607" s="84"/>
    </row>
    <row r="608" ht="15.75" customHeight="1">
      <c r="A608" s="84"/>
    </row>
    <row r="609" ht="15.75" customHeight="1">
      <c r="A609" s="84"/>
    </row>
    <row r="610" ht="15.75" customHeight="1">
      <c r="A610" s="84"/>
    </row>
    <row r="611" ht="15.75" customHeight="1">
      <c r="A611" s="84"/>
    </row>
    <row r="612" ht="15.75" customHeight="1">
      <c r="A612" s="84"/>
    </row>
    <row r="613" ht="15.75" customHeight="1">
      <c r="A613" s="84"/>
    </row>
    <row r="614" ht="15.75" customHeight="1">
      <c r="A614" s="84"/>
    </row>
    <row r="615" ht="15.75" customHeight="1">
      <c r="A615" s="84"/>
    </row>
    <row r="616" ht="15.75" customHeight="1">
      <c r="A616" s="84"/>
    </row>
    <row r="617" ht="15.75" customHeight="1">
      <c r="A617" s="84"/>
    </row>
    <row r="618" ht="15.75" customHeight="1">
      <c r="A618" s="84"/>
    </row>
    <row r="619" ht="15.75" customHeight="1">
      <c r="A619" s="84"/>
    </row>
    <row r="620" ht="15.75" customHeight="1">
      <c r="A620" s="84"/>
    </row>
    <row r="621" ht="15.75" customHeight="1">
      <c r="A621" s="84"/>
    </row>
    <row r="622" ht="15.75" customHeight="1">
      <c r="A622" s="84"/>
    </row>
    <row r="623" ht="15.75" customHeight="1">
      <c r="A623" s="84"/>
    </row>
    <row r="624" ht="15.75" customHeight="1">
      <c r="A624" s="84"/>
    </row>
    <row r="625" ht="15.75" customHeight="1">
      <c r="A625" s="84"/>
    </row>
    <row r="626" ht="15.75" customHeight="1">
      <c r="A626" s="84"/>
    </row>
    <row r="627" ht="15.75" customHeight="1">
      <c r="A627" s="84"/>
    </row>
    <row r="628" ht="15.75" customHeight="1">
      <c r="A628" s="84"/>
    </row>
    <row r="629" ht="15.75" customHeight="1">
      <c r="A629" s="84"/>
    </row>
    <row r="630" ht="15.75" customHeight="1">
      <c r="A630" s="84"/>
    </row>
    <row r="631" ht="15.75" customHeight="1">
      <c r="A631" s="84"/>
    </row>
    <row r="632" ht="15.75" customHeight="1">
      <c r="A632" s="84"/>
    </row>
    <row r="633" ht="15.75" customHeight="1">
      <c r="A633" s="84"/>
    </row>
    <row r="634" ht="15.75" customHeight="1">
      <c r="A634" s="84"/>
    </row>
    <row r="635" ht="15.75" customHeight="1">
      <c r="A635" s="84"/>
    </row>
    <row r="636" ht="15.75" customHeight="1">
      <c r="A636" s="84"/>
    </row>
    <row r="637" ht="15.75" customHeight="1">
      <c r="A637" s="84"/>
    </row>
    <row r="638" ht="15.75" customHeight="1">
      <c r="A638" s="84"/>
    </row>
    <row r="639" ht="15.75" customHeight="1">
      <c r="A639" s="84"/>
    </row>
    <row r="640" ht="15.75" customHeight="1">
      <c r="A640" s="84"/>
    </row>
    <row r="641" ht="15.75" customHeight="1">
      <c r="A641" s="84"/>
    </row>
    <row r="642" ht="15.75" customHeight="1">
      <c r="A642" s="84"/>
    </row>
    <row r="643" ht="15.75" customHeight="1">
      <c r="A643" s="84"/>
    </row>
    <row r="644" ht="15.75" customHeight="1">
      <c r="A644" s="84"/>
    </row>
    <row r="645" ht="15.75" customHeight="1">
      <c r="A645" s="84"/>
    </row>
    <row r="646" ht="15.75" customHeight="1">
      <c r="A646" s="84"/>
    </row>
    <row r="647" ht="15.75" customHeight="1">
      <c r="A647" s="84"/>
    </row>
    <row r="648" ht="15.75" customHeight="1">
      <c r="A648" s="84"/>
    </row>
    <row r="649" ht="15.75" customHeight="1">
      <c r="A649" s="84"/>
    </row>
    <row r="650" ht="15.75" customHeight="1">
      <c r="A650" s="84"/>
    </row>
    <row r="651" ht="15.75" customHeight="1">
      <c r="A651" s="84"/>
    </row>
    <row r="652" ht="15.75" customHeight="1">
      <c r="A652" s="84"/>
    </row>
    <row r="653" ht="15.75" customHeight="1">
      <c r="A653" s="84"/>
    </row>
    <row r="654" ht="15.75" customHeight="1">
      <c r="A654" s="84"/>
    </row>
    <row r="655" ht="15.75" customHeight="1">
      <c r="A655" s="84"/>
    </row>
    <row r="656" ht="15.75" customHeight="1">
      <c r="A656" s="84"/>
    </row>
    <row r="657" ht="15.75" customHeight="1">
      <c r="A657" s="84"/>
    </row>
    <row r="658" ht="15.75" customHeight="1">
      <c r="A658" s="84"/>
    </row>
    <row r="659" ht="15.75" customHeight="1">
      <c r="A659" s="84"/>
    </row>
    <row r="660" ht="15.75" customHeight="1">
      <c r="A660" s="84"/>
    </row>
    <row r="661" ht="15.75" customHeight="1">
      <c r="A661" s="84"/>
    </row>
    <row r="662" ht="15.75" customHeight="1">
      <c r="A662" s="84"/>
    </row>
    <row r="663" ht="15.75" customHeight="1">
      <c r="A663" s="84"/>
    </row>
    <row r="664" ht="15.75" customHeight="1">
      <c r="A664" s="84"/>
    </row>
    <row r="665" ht="15.75" customHeight="1">
      <c r="A665" s="84"/>
    </row>
    <row r="666" ht="15.75" customHeight="1">
      <c r="A666" s="84"/>
    </row>
    <row r="667" ht="15.75" customHeight="1">
      <c r="A667" s="84"/>
    </row>
    <row r="668" ht="15.75" customHeight="1">
      <c r="A668" s="84"/>
    </row>
    <row r="669" ht="15.75" customHeight="1">
      <c r="A669" s="84"/>
    </row>
    <row r="670" ht="15.75" customHeight="1">
      <c r="A670" s="84"/>
    </row>
    <row r="671" ht="15.75" customHeight="1">
      <c r="A671" s="84"/>
    </row>
    <row r="672" ht="15.75" customHeight="1">
      <c r="A672" s="84"/>
    </row>
    <row r="673" ht="15.75" customHeight="1">
      <c r="A673" s="84"/>
    </row>
    <row r="674" ht="15.75" customHeight="1">
      <c r="A674" s="84"/>
    </row>
    <row r="675" ht="15.75" customHeight="1">
      <c r="A675" s="84"/>
    </row>
    <row r="676" ht="15.75" customHeight="1">
      <c r="A676" s="84"/>
    </row>
    <row r="677" ht="15.75" customHeight="1">
      <c r="A677" s="84"/>
    </row>
    <row r="678" ht="15.75" customHeight="1">
      <c r="A678" s="84"/>
    </row>
    <row r="679" ht="15.75" customHeight="1">
      <c r="A679" s="84"/>
    </row>
    <row r="680" ht="15.75" customHeight="1">
      <c r="A680" s="84"/>
    </row>
    <row r="681" ht="15.75" customHeight="1">
      <c r="A681" s="84"/>
    </row>
    <row r="682" ht="15.75" customHeight="1">
      <c r="A682" s="84"/>
    </row>
    <row r="683" ht="15.75" customHeight="1">
      <c r="A683" s="84"/>
    </row>
    <row r="684" ht="15.75" customHeight="1">
      <c r="A684" s="84"/>
    </row>
    <row r="685" ht="15.75" customHeight="1">
      <c r="A685" s="84"/>
    </row>
    <row r="686" ht="15.75" customHeight="1">
      <c r="A686" s="84"/>
    </row>
    <row r="687" ht="15.75" customHeight="1">
      <c r="A687" s="84"/>
    </row>
    <row r="688" ht="15.75" customHeight="1">
      <c r="A688" s="84"/>
    </row>
    <row r="689" ht="15.75" customHeight="1">
      <c r="A689" s="84"/>
    </row>
    <row r="690" ht="15.75" customHeight="1">
      <c r="A690" s="84"/>
    </row>
    <row r="691" ht="15.75" customHeight="1">
      <c r="A691" s="84"/>
    </row>
    <row r="692" ht="15.75" customHeight="1">
      <c r="A692" s="84"/>
    </row>
    <row r="693" ht="15.75" customHeight="1">
      <c r="A693" s="84"/>
    </row>
    <row r="694" ht="15.75" customHeight="1">
      <c r="A694" s="84"/>
    </row>
    <row r="695" ht="15.75" customHeight="1">
      <c r="A695" s="84"/>
    </row>
    <row r="696" ht="15.75" customHeight="1">
      <c r="A696" s="84"/>
    </row>
    <row r="697" ht="15.75" customHeight="1">
      <c r="A697" s="84"/>
    </row>
    <row r="698" ht="15.75" customHeight="1">
      <c r="A698" s="84"/>
    </row>
    <row r="699" ht="15.75" customHeight="1">
      <c r="A699" s="84"/>
    </row>
    <row r="700" ht="15.75" customHeight="1">
      <c r="A700" s="84"/>
    </row>
    <row r="701" ht="15.75" customHeight="1">
      <c r="A701" s="84"/>
    </row>
    <row r="702" ht="15.75" customHeight="1">
      <c r="A702" s="84"/>
    </row>
    <row r="703" ht="15.75" customHeight="1">
      <c r="A703" s="84"/>
    </row>
    <row r="704" ht="15.75" customHeight="1">
      <c r="A704" s="84"/>
    </row>
    <row r="705" ht="15.75" customHeight="1">
      <c r="A705" s="84"/>
    </row>
    <row r="706" ht="15.75" customHeight="1">
      <c r="A706" s="84"/>
    </row>
    <row r="707" ht="15.75" customHeight="1">
      <c r="A707" s="84"/>
    </row>
    <row r="708" ht="15.75" customHeight="1">
      <c r="A708" s="84"/>
    </row>
    <row r="709" ht="15.75" customHeight="1">
      <c r="A709" s="84"/>
    </row>
    <row r="710" ht="15.75" customHeight="1">
      <c r="A710" s="84"/>
    </row>
    <row r="711" ht="15.75" customHeight="1">
      <c r="A711" s="84"/>
    </row>
    <row r="712" ht="15.75" customHeight="1">
      <c r="A712" s="84"/>
    </row>
    <row r="713" ht="15.75" customHeight="1">
      <c r="A713" s="84"/>
    </row>
    <row r="714" ht="15.75" customHeight="1">
      <c r="A714" s="84"/>
    </row>
    <row r="715" ht="15.75" customHeight="1">
      <c r="A715" s="84"/>
    </row>
    <row r="716" ht="15.75" customHeight="1">
      <c r="A716" s="84"/>
    </row>
    <row r="717" ht="15.75" customHeight="1">
      <c r="A717" s="84"/>
    </row>
    <row r="718" ht="15.75" customHeight="1">
      <c r="A718" s="84"/>
    </row>
    <row r="719" ht="15.75" customHeight="1">
      <c r="A719" s="84"/>
    </row>
    <row r="720" ht="15.75" customHeight="1">
      <c r="A720" s="84"/>
    </row>
    <row r="721" ht="15.75" customHeight="1">
      <c r="A721" s="84"/>
    </row>
    <row r="722" ht="15.75" customHeight="1">
      <c r="A722" s="84"/>
    </row>
    <row r="723" ht="15.75" customHeight="1">
      <c r="A723" s="84"/>
    </row>
    <row r="724" ht="15.75" customHeight="1">
      <c r="A724" s="84"/>
    </row>
    <row r="725" ht="15.75" customHeight="1">
      <c r="A725" s="84"/>
    </row>
    <row r="726" ht="15.75" customHeight="1">
      <c r="A726" s="84"/>
    </row>
    <row r="727" ht="15.75" customHeight="1">
      <c r="A727" s="84"/>
    </row>
    <row r="728" ht="15.75" customHeight="1">
      <c r="A728" s="84"/>
    </row>
    <row r="729" ht="15.75" customHeight="1">
      <c r="A729" s="84"/>
    </row>
    <row r="730" ht="15.75" customHeight="1">
      <c r="A730" s="84"/>
    </row>
    <row r="731" ht="15.75" customHeight="1">
      <c r="A731" s="84"/>
    </row>
    <row r="732" ht="15.75" customHeight="1">
      <c r="A732" s="84"/>
    </row>
    <row r="733" ht="15.75" customHeight="1">
      <c r="A733" s="84"/>
    </row>
    <row r="734" ht="15.75" customHeight="1">
      <c r="A734" s="84"/>
    </row>
    <row r="735" ht="15.75" customHeight="1">
      <c r="A735" s="84"/>
    </row>
    <row r="736" ht="15.75" customHeight="1">
      <c r="A736" s="84"/>
    </row>
    <row r="737" ht="15.75" customHeight="1">
      <c r="A737" s="84"/>
    </row>
    <row r="738" ht="15.75" customHeight="1">
      <c r="A738" s="84"/>
    </row>
    <row r="739" ht="15.75" customHeight="1">
      <c r="A739" s="84"/>
    </row>
    <row r="740" ht="15.75" customHeight="1">
      <c r="A740" s="84"/>
    </row>
    <row r="741" ht="15.75" customHeight="1">
      <c r="A741" s="84"/>
    </row>
    <row r="742" ht="15.75" customHeight="1">
      <c r="A742" s="84"/>
    </row>
    <row r="743" ht="15.75" customHeight="1">
      <c r="A743" s="84"/>
    </row>
    <row r="744" ht="15.75" customHeight="1">
      <c r="A744" s="84"/>
    </row>
    <row r="745" ht="15.75" customHeight="1">
      <c r="A745" s="84"/>
    </row>
    <row r="746" ht="15.75" customHeight="1">
      <c r="A746" s="84"/>
    </row>
    <row r="747" ht="15.75" customHeight="1">
      <c r="A747" s="84"/>
    </row>
    <row r="748" ht="15.75" customHeight="1">
      <c r="A748" s="84"/>
    </row>
    <row r="749" ht="15.75" customHeight="1">
      <c r="A749" s="84"/>
    </row>
    <row r="750" ht="15.75" customHeight="1">
      <c r="A750" s="84"/>
    </row>
    <row r="751" ht="15.75" customHeight="1">
      <c r="A751" s="84"/>
    </row>
    <row r="752" ht="15.75" customHeight="1">
      <c r="A752" s="84"/>
    </row>
    <row r="753" ht="15.75" customHeight="1">
      <c r="A753" s="84"/>
    </row>
    <row r="754" ht="15.75" customHeight="1">
      <c r="A754" s="84"/>
    </row>
    <row r="755" ht="15.75" customHeight="1">
      <c r="A755" s="84"/>
    </row>
    <row r="756" ht="15.75" customHeight="1">
      <c r="A756" s="84"/>
    </row>
    <row r="757" ht="15.75" customHeight="1">
      <c r="A757" s="84"/>
    </row>
    <row r="758" ht="15.75" customHeight="1">
      <c r="A758" s="84"/>
    </row>
    <row r="759" ht="15.75" customHeight="1">
      <c r="A759" s="84"/>
    </row>
    <row r="760" ht="15.75" customHeight="1">
      <c r="A760" s="84"/>
    </row>
    <row r="761" ht="15.75" customHeight="1">
      <c r="A761" s="84"/>
    </row>
    <row r="762" ht="15.75" customHeight="1">
      <c r="A762" s="84"/>
    </row>
    <row r="763" ht="15.75" customHeight="1">
      <c r="A763" s="84"/>
    </row>
    <row r="764" ht="15.75" customHeight="1">
      <c r="A764" s="84"/>
    </row>
    <row r="765" ht="15.75" customHeight="1">
      <c r="A765" s="84"/>
    </row>
    <row r="766" ht="15.75" customHeight="1">
      <c r="A766" s="84"/>
    </row>
    <row r="767" ht="15.75" customHeight="1">
      <c r="A767" s="84"/>
    </row>
    <row r="768" ht="15.75" customHeight="1">
      <c r="A768" s="84"/>
    </row>
    <row r="769" ht="15.75" customHeight="1">
      <c r="A769" s="84"/>
    </row>
    <row r="770" ht="15.75" customHeight="1">
      <c r="A770" s="84"/>
    </row>
    <row r="771" ht="15.75" customHeight="1">
      <c r="A771" s="84"/>
    </row>
    <row r="772" ht="15.75" customHeight="1">
      <c r="A772" s="84"/>
    </row>
    <row r="773" ht="15.75" customHeight="1">
      <c r="A773" s="84"/>
    </row>
    <row r="774" ht="15.75" customHeight="1">
      <c r="A774" s="84"/>
    </row>
    <row r="775" ht="15.75" customHeight="1">
      <c r="A775" s="84"/>
    </row>
    <row r="776" ht="15.75" customHeight="1">
      <c r="A776" s="84"/>
    </row>
    <row r="777" ht="15.75" customHeight="1">
      <c r="A777" s="84"/>
    </row>
    <row r="778" ht="15.75" customHeight="1">
      <c r="A778" s="84"/>
    </row>
    <row r="779" ht="15.75" customHeight="1">
      <c r="A779" s="84"/>
    </row>
    <row r="780" ht="15.75" customHeight="1">
      <c r="A780" s="84"/>
    </row>
    <row r="781" ht="15.75" customHeight="1">
      <c r="A781" s="84"/>
    </row>
    <row r="782" ht="15.75" customHeight="1">
      <c r="A782" s="84"/>
    </row>
    <row r="783" ht="15.75" customHeight="1">
      <c r="A783" s="84"/>
    </row>
    <row r="784" ht="15.75" customHeight="1">
      <c r="A784" s="84"/>
    </row>
    <row r="785" ht="15.75" customHeight="1">
      <c r="A785" s="84"/>
    </row>
    <row r="786" ht="15.75" customHeight="1">
      <c r="A786" s="84"/>
    </row>
    <row r="787" ht="15.75" customHeight="1">
      <c r="A787" s="84"/>
    </row>
    <row r="788" ht="15.75" customHeight="1">
      <c r="A788" s="84"/>
    </row>
    <row r="789" ht="15.75" customHeight="1">
      <c r="A789" s="84"/>
    </row>
    <row r="790" ht="15.75" customHeight="1">
      <c r="A790" s="84"/>
    </row>
    <row r="791" ht="15.75" customHeight="1">
      <c r="A791" s="84"/>
    </row>
    <row r="792" ht="15.75" customHeight="1">
      <c r="A792" s="84"/>
    </row>
    <row r="793" ht="15.75" customHeight="1">
      <c r="A793" s="84"/>
    </row>
    <row r="794" ht="15.75" customHeight="1">
      <c r="A794" s="84"/>
    </row>
    <row r="795" ht="15.75" customHeight="1">
      <c r="A795" s="84"/>
    </row>
    <row r="796" ht="15.75" customHeight="1">
      <c r="A796" s="84"/>
    </row>
    <row r="797" ht="15.75" customHeight="1">
      <c r="A797" s="84"/>
    </row>
    <row r="798" ht="15.75" customHeight="1">
      <c r="A798" s="84"/>
    </row>
    <row r="799" ht="15.75" customHeight="1">
      <c r="A799" s="84"/>
    </row>
    <row r="800" ht="15.75" customHeight="1">
      <c r="A800" s="84"/>
    </row>
    <row r="801" ht="15.75" customHeight="1">
      <c r="A801" s="84"/>
    </row>
    <row r="802" ht="15.75" customHeight="1">
      <c r="A802" s="84"/>
    </row>
    <row r="803" ht="15.75" customHeight="1">
      <c r="A803" s="84"/>
    </row>
    <row r="804" ht="15.75" customHeight="1">
      <c r="A804" s="84"/>
    </row>
    <row r="805" ht="15.75" customHeight="1">
      <c r="A805" s="84"/>
    </row>
    <row r="806" ht="15.75" customHeight="1">
      <c r="A806" s="84"/>
    </row>
    <row r="807" ht="15.75" customHeight="1">
      <c r="A807" s="84"/>
    </row>
    <row r="808" ht="15.75" customHeight="1">
      <c r="A808" s="84"/>
    </row>
    <row r="809" ht="15.75" customHeight="1">
      <c r="A809" s="84"/>
    </row>
    <row r="810" ht="15.75" customHeight="1">
      <c r="A810" s="84"/>
    </row>
    <row r="811" ht="15.75" customHeight="1">
      <c r="A811" s="84"/>
    </row>
    <row r="812" ht="15.75" customHeight="1">
      <c r="A812" s="84"/>
    </row>
    <row r="813" ht="15.75" customHeight="1">
      <c r="A813" s="84"/>
    </row>
    <row r="814" ht="15.75" customHeight="1">
      <c r="A814" s="84"/>
    </row>
    <row r="815" ht="15.75" customHeight="1">
      <c r="A815" s="84"/>
    </row>
    <row r="816" ht="15.75" customHeight="1">
      <c r="A816" s="84"/>
    </row>
    <row r="817" ht="15.75" customHeight="1">
      <c r="A817" s="84"/>
    </row>
    <row r="818" ht="15.75" customHeight="1">
      <c r="A818" s="84"/>
    </row>
    <row r="819" ht="15.75" customHeight="1">
      <c r="A819" s="84"/>
    </row>
    <row r="820" ht="15.75" customHeight="1">
      <c r="A820" s="84"/>
    </row>
    <row r="821" ht="15.75" customHeight="1">
      <c r="A821" s="84"/>
    </row>
    <row r="822" ht="15.75" customHeight="1">
      <c r="A822" s="84"/>
    </row>
    <row r="823" ht="15.75" customHeight="1">
      <c r="A823" s="84"/>
    </row>
    <row r="824" ht="15.75" customHeight="1">
      <c r="A824" s="84"/>
    </row>
    <row r="825" ht="15.75" customHeight="1">
      <c r="A825" s="84"/>
    </row>
    <row r="826" ht="15.75" customHeight="1">
      <c r="A826" s="84"/>
    </row>
    <row r="827" ht="15.75" customHeight="1">
      <c r="A827" s="84"/>
    </row>
    <row r="828" ht="15.75" customHeight="1">
      <c r="A828" s="84"/>
    </row>
    <row r="829" ht="15.75" customHeight="1">
      <c r="A829" s="84"/>
    </row>
    <row r="830" ht="15.75" customHeight="1">
      <c r="A830" s="84"/>
    </row>
    <row r="831" ht="15.75" customHeight="1">
      <c r="A831" s="84"/>
    </row>
    <row r="832" ht="15.75" customHeight="1">
      <c r="A832" s="84"/>
    </row>
    <row r="833" ht="15.75" customHeight="1">
      <c r="A833" s="84"/>
    </row>
    <row r="834" ht="15.75" customHeight="1">
      <c r="A834" s="84"/>
    </row>
    <row r="835" ht="15.75" customHeight="1">
      <c r="A835" s="84"/>
    </row>
    <row r="836" ht="15.75" customHeight="1">
      <c r="A836" s="84"/>
    </row>
    <row r="837" ht="15.75" customHeight="1">
      <c r="A837" s="84"/>
    </row>
    <row r="838" ht="15.75" customHeight="1">
      <c r="A838" s="84"/>
    </row>
    <row r="839" ht="15.75" customHeight="1">
      <c r="A839" s="84"/>
    </row>
    <row r="840" ht="15.75" customHeight="1">
      <c r="A840" s="84"/>
    </row>
    <row r="841" ht="15.75" customHeight="1">
      <c r="A841" s="84"/>
    </row>
    <row r="842" ht="15.75" customHeight="1">
      <c r="A842" s="84"/>
    </row>
    <row r="843" ht="15.75" customHeight="1">
      <c r="A843" s="84"/>
    </row>
    <row r="844" ht="15.75" customHeight="1">
      <c r="A844" s="84"/>
    </row>
    <row r="845" ht="15.75" customHeight="1">
      <c r="A845" s="84"/>
    </row>
    <row r="846" ht="15.75" customHeight="1">
      <c r="A846" s="84"/>
    </row>
    <row r="847" ht="15.75" customHeight="1">
      <c r="A847" s="84"/>
    </row>
    <row r="848" ht="15.75" customHeight="1">
      <c r="A848" s="84"/>
    </row>
    <row r="849" ht="15.75" customHeight="1">
      <c r="A849" s="84"/>
    </row>
    <row r="850" ht="15.75" customHeight="1">
      <c r="A850" s="84"/>
    </row>
    <row r="851" ht="15.75" customHeight="1">
      <c r="A851" s="84"/>
    </row>
    <row r="852" ht="15.75" customHeight="1">
      <c r="A852" s="84"/>
    </row>
    <row r="853" ht="15.75" customHeight="1">
      <c r="A853" s="84"/>
    </row>
    <row r="854" ht="15.75" customHeight="1">
      <c r="A854" s="84"/>
    </row>
    <row r="855" ht="15.75" customHeight="1">
      <c r="A855" s="84"/>
    </row>
    <row r="856" ht="15.75" customHeight="1">
      <c r="A856" s="84"/>
    </row>
    <row r="857" ht="15.75" customHeight="1">
      <c r="A857" s="84"/>
    </row>
    <row r="858" ht="15.75" customHeight="1">
      <c r="A858" s="84"/>
    </row>
    <row r="859" ht="15.75" customHeight="1">
      <c r="A859" s="84"/>
    </row>
    <row r="860" ht="15.75" customHeight="1">
      <c r="A860" s="84"/>
    </row>
    <row r="861" ht="15.75" customHeight="1">
      <c r="A861" s="84"/>
    </row>
    <row r="862" ht="15.75" customHeight="1">
      <c r="A862" s="84"/>
    </row>
    <row r="863" ht="15.75" customHeight="1">
      <c r="A863" s="84"/>
    </row>
    <row r="864" ht="15.75" customHeight="1">
      <c r="A864" s="84"/>
    </row>
    <row r="865" ht="15.75" customHeight="1">
      <c r="A865" s="84"/>
    </row>
    <row r="866" ht="15.75" customHeight="1">
      <c r="A866" s="84"/>
    </row>
    <row r="867" ht="15.75" customHeight="1">
      <c r="A867" s="84"/>
    </row>
    <row r="868" ht="15.75" customHeight="1">
      <c r="A868" s="84"/>
    </row>
    <row r="869" ht="15.75" customHeight="1">
      <c r="A869" s="84"/>
    </row>
    <row r="870" ht="15.75" customHeight="1">
      <c r="A870" s="84"/>
    </row>
    <row r="871" ht="15.75" customHeight="1">
      <c r="A871" s="84"/>
    </row>
    <row r="872" ht="15.75" customHeight="1">
      <c r="A872" s="84"/>
    </row>
    <row r="873" ht="15.75" customHeight="1">
      <c r="A873" s="84"/>
    </row>
    <row r="874" ht="15.75" customHeight="1">
      <c r="A874" s="84"/>
    </row>
    <row r="875" ht="15.75" customHeight="1">
      <c r="A875" s="84"/>
    </row>
    <row r="876" ht="15.75" customHeight="1">
      <c r="A876" s="84"/>
    </row>
    <row r="877" ht="15.75" customHeight="1">
      <c r="A877" s="84"/>
    </row>
    <row r="878" ht="15.75" customHeight="1">
      <c r="A878" s="84"/>
    </row>
    <row r="879" ht="15.75" customHeight="1">
      <c r="A879" s="84"/>
    </row>
    <row r="880" ht="15.75" customHeight="1">
      <c r="A880" s="84"/>
    </row>
    <row r="881" ht="15.75" customHeight="1">
      <c r="A881" s="84"/>
    </row>
    <row r="882" ht="15.75" customHeight="1">
      <c r="A882" s="84"/>
    </row>
    <row r="883" ht="15.75" customHeight="1">
      <c r="A883" s="84"/>
    </row>
    <row r="884" ht="15.75" customHeight="1">
      <c r="A884" s="84"/>
    </row>
    <row r="885" ht="15.75" customHeight="1">
      <c r="A885" s="84"/>
    </row>
    <row r="886" ht="15.75" customHeight="1">
      <c r="A886" s="84"/>
    </row>
    <row r="887" ht="15.75" customHeight="1">
      <c r="A887" s="84"/>
    </row>
    <row r="888" ht="15.75" customHeight="1">
      <c r="A888" s="84"/>
    </row>
    <row r="889" ht="15.75" customHeight="1">
      <c r="A889" s="84"/>
    </row>
    <row r="890" ht="15.75" customHeight="1">
      <c r="A890" s="84"/>
    </row>
    <row r="891" ht="15.75" customHeight="1">
      <c r="A891" s="84"/>
    </row>
    <row r="892" ht="15.75" customHeight="1">
      <c r="A892" s="84"/>
    </row>
    <row r="893" ht="15.75" customHeight="1">
      <c r="A893" s="84"/>
    </row>
    <row r="894" ht="15.75" customHeight="1">
      <c r="A894" s="84"/>
    </row>
    <row r="895" ht="15.75" customHeight="1">
      <c r="A895" s="84"/>
    </row>
    <row r="896" ht="15.75" customHeight="1">
      <c r="A896" s="84"/>
    </row>
    <row r="897" ht="15.75" customHeight="1">
      <c r="A897" s="84"/>
    </row>
    <row r="898" ht="15.75" customHeight="1">
      <c r="A898" s="84"/>
    </row>
    <row r="899" ht="15.75" customHeight="1">
      <c r="A899" s="84"/>
    </row>
    <row r="900" ht="15.75" customHeight="1">
      <c r="A900" s="84"/>
    </row>
    <row r="901" ht="15.75" customHeight="1">
      <c r="A901" s="84"/>
    </row>
    <row r="902" ht="15.75" customHeight="1">
      <c r="A902" s="84"/>
    </row>
    <row r="903" ht="15.75" customHeight="1">
      <c r="A903" s="84"/>
    </row>
    <row r="904" ht="15.75" customHeight="1">
      <c r="A904" s="84"/>
    </row>
    <row r="905" ht="15.75" customHeight="1">
      <c r="A905" s="84"/>
    </row>
    <row r="906" ht="15.75" customHeight="1">
      <c r="A906" s="84"/>
    </row>
    <row r="907" ht="15.75" customHeight="1">
      <c r="A907" s="84"/>
    </row>
    <row r="908" ht="15.75" customHeight="1">
      <c r="A908" s="84"/>
    </row>
    <row r="909" ht="15.75" customHeight="1">
      <c r="A909" s="84"/>
    </row>
    <row r="910" ht="15.75" customHeight="1">
      <c r="A910" s="84"/>
    </row>
    <row r="911" ht="15.75" customHeight="1">
      <c r="A911" s="84"/>
    </row>
    <row r="912" ht="15.75" customHeight="1">
      <c r="A912" s="84"/>
    </row>
    <row r="913" ht="15.75" customHeight="1">
      <c r="A913" s="84"/>
    </row>
    <row r="914" ht="15.75" customHeight="1">
      <c r="A914" s="84"/>
    </row>
    <row r="915" ht="15.75" customHeight="1">
      <c r="A915" s="84"/>
    </row>
    <row r="916" ht="15.75" customHeight="1">
      <c r="A916" s="84"/>
    </row>
    <row r="917" ht="15.75" customHeight="1">
      <c r="A917" s="84"/>
    </row>
    <row r="918" ht="15.75" customHeight="1">
      <c r="A918" s="84"/>
    </row>
    <row r="919" ht="15.75" customHeight="1">
      <c r="A919" s="84"/>
    </row>
    <row r="920" ht="15.75" customHeight="1">
      <c r="A920" s="84"/>
    </row>
    <row r="921" ht="15.75" customHeight="1">
      <c r="A921" s="84"/>
    </row>
    <row r="922" ht="15.75" customHeight="1">
      <c r="A922" s="84"/>
    </row>
    <row r="923" ht="15.75" customHeight="1">
      <c r="A923" s="84"/>
    </row>
    <row r="924" ht="15.75" customHeight="1">
      <c r="A924" s="84"/>
    </row>
    <row r="925" ht="15.75" customHeight="1">
      <c r="A925" s="84"/>
    </row>
    <row r="926" ht="15.75" customHeight="1">
      <c r="A926" s="84"/>
    </row>
    <row r="927" ht="15.75" customHeight="1">
      <c r="A927" s="84"/>
    </row>
    <row r="928" ht="15.75" customHeight="1">
      <c r="A928" s="84"/>
    </row>
    <row r="929" ht="15.75" customHeight="1">
      <c r="A929" s="84"/>
    </row>
    <row r="930" ht="15.75" customHeight="1">
      <c r="A930" s="84"/>
    </row>
    <row r="931" ht="15.75" customHeight="1">
      <c r="A931" s="84"/>
    </row>
    <row r="932" ht="15.75" customHeight="1">
      <c r="A932" s="84"/>
    </row>
    <row r="933" ht="15.75" customHeight="1">
      <c r="A933" s="84"/>
    </row>
    <row r="934" ht="15.75" customHeight="1">
      <c r="A934" s="84"/>
    </row>
    <row r="935" ht="15.75" customHeight="1">
      <c r="A935" s="84"/>
    </row>
    <row r="936" ht="15.75" customHeight="1">
      <c r="A936" s="84"/>
    </row>
    <row r="937" ht="15.75" customHeight="1">
      <c r="A937" s="84"/>
    </row>
    <row r="938" ht="15.75" customHeight="1">
      <c r="A938" s="84"/>
    </row>
    <row r="939" ht="15.75" customHeight="1">
      <c r="A939" s="84"/>
    </row>
    <row r="940" ht="15.75" customHeight="1">
      <c r="A940" s="84"/>
    </row>
    <row r="941" ht="15.75" customHeight="1">
      <c r="A941" s="84"/>
    </row>
    <row r="942" ht="15.75" customHeight="1">
      <c r="A942" s="84"/>
    </row>
    <row r="943" ht="15.75" customHeight="1">
      <c r="A943" s="84"/>
    </row>
    <row r="944" ht="15.75" customHeight="1">
      <c r="A944" s="84"/>
    </row>
    <row r="945" ht="15.75" customHeight="1">
      <c r="A945" s="84"/>
    </row>
    <row r="946" ht="15.75" customHeight="1">
      <c r="A946" s="84"/>
    </row>
    <row r="947" ht="15.75" customHeight="1">
      <c r="A947" s="84"/>
    </row>
    <row r="948" ht="15.75" customHeight="1">
      <c r="A948" s="84"/>
    </row>
    <row r="949" ht="15.75" customHeight="1">
      <c r="A949" s="84"/>
    </row>
    <row r="950" ht="15.75" customHeight="1">
      <c r="A950" s="84"/>
    </row>
    <row r="951" ht="15.75" customHeight="1">
      <c r="A951" s="84"/>
    </row>
    <row r="952" ht="15.75" customHeight="1">
      <c r="A952" s="84"/>
    </row>
    <row r="953" ht="15.75" customHeight="1">
      <c r="A953" s="84"/>
    </row>
    <row r="954" ht="15.75" customHeight="1">
      <c r="A954" s="84"/>
    </row>
    <row r="955" ht="15.75" customHeight="1">
      <c r="A955" s="84"/>
    </row>
    <row r="956" ht="15.75" customHeight="1">
      <c r="A956" s="84"/>
    </row>
    <row r="957" ht="15.75" customHeight="1">
      <c r="A957" s="84"/>
    </row>
    <row r="958" ht="15.75" customHeight="1">
      <c r="A958" s="84"/>
    </row>
    <row r="959" ht="15.75" customHeight="1">
      <c r="A959" s="84"/>
    </row>
    <row r="960" ht="15.75" customHeight="1">
      <c r="A960" s="84"/>
    </row>
    <row r="961" ht="15.75" customHeight="1">
      <c r="A961" s="84"/>
    </row>
    <row r="962" ht="15.75" customHeight="1">
      <c r="A962" s="84"/>
    </row>
    <row r="963" ht="15.75" customHeight="1">
      <c r="A963" s="84"/>
    </row>
    <row r="964" ht="15.75" customHeight="1">
      <c r="A964" s="84"/>
    </row>
    <row r="965" ht="15.75" customHeight="1">
      <c r="A965" s="84"/>
    </row>
    <row r="966" ht="15.75" customHeight="1">
      <c r="A966" s="84"/>
    </row>
    <row r="967" ht="15.75" customHeight="1">
      <c r="A967" s="84"/>
    </row>
    <row r="968" ht="15.75" customHeight="1">
      <c r="A968" s="84"/>
    </row>
    <row r="969" ht="15.75" customHeight="1">
      <c r="A969" s="84"/>
    </row>
    <row r="970" ht="15.75" customHeight="1">
      <c r="A970" s="84"/>
    </row>
    <row r="971" ht="15.75" customHeight="1">
      <c r="A971" s="84"/>
    </row>
    <row r="972" ht="15.75" customHeight="1">
      <c r="A972" s="84"/>
    </row>
    <row r="973" ht="15.75" customHeight="1">
      <c r="A973" s="84"/>
    </row>
    <row r="974" ht="15.75" customHeight="1">
      <c r="A974" s="84"/>
    </row>
    <row r="975" ht="15.75" customHeight="1">
      <c r="A975" s="84"/>
    </row>
    <row r="976" ht="15.75" customHeight="1">
      <c r="A976" s="84"/>
    </row>
    <row r="977" ht="15.75" customHeight="1">
      <c r="A977" s="84"/>
    </row>
    <row r="978" ht="15.75" customHeight="1">
      <c r="A978" s="84"/>
    </row>
    <row r="979" ht="15.75" customHeight="1">
      <c r="A979" s="84"/>
    </row>
    <row r="980" ht="15.75" customHeight="1">
      <c r="A980" s="84"/>
    </row>
    <row r="981" ht="15.75" customHeight="1">
      <c r="A981" s="84"/>
    </row>
    <row r="982" ht="15.75" customHeight="1">
      <c r="A982" s="84"/>
    </row>
    <row r="983" ht="15.75" customHeight="1">
      <c r="A983" s="84"/>
    </row>
    <row r="984" ht="15.75" customHeight="1">
      <c r="A984" s="84"/>
    </row>
    <row r="985" ht="15.75" customHeight="1">
      <c r="A985" s="84"/>
    </row>
    <row r="986" ht="15.75" customHeight="1">
      <c r="A986" s="84"/>
    </row>
    <row r="987" ht="15.75" customHeight="1">
      <c r="A987" s="84"/>
    </row>
    <row r="988" ht="15.75" customHeight="1">
      <c r="A988" s="84"/>
    </row>
    <row r="989" ht="15.75" customHeight="1">
      <c r="A989" s="84"/>
    </row>
    <row r="990" ht="15.75" customHeight="1">
      <c r="A990" s="84"/>
    </row>
    <row r="991" ht="15.75" customHeight="1">
      <c r="A991" s="84"/>
    </row>
    <row r="992" ht="15.75" customHeight="1">
      <c r="A992" s="84"/>
    </row>
    <row r="993" ht="15.75" customHeight="1">
      <c r="A993" s="84"/>
    </row>
    <row r="994" ht="15.75" customHeight="1">
      <c r="A994" s="84"/>
    </row>
    <row r="995" ht="15.75" customHeight="1">
      <c r="A995" s="84"/>
    </row>
    <row r="996" ht="15.75" customHeight="1">
      <c r="A996" s="84"/>
    </row>
    <row r="997" ht="15.75" customHeight="1">
      <c r="A997" s="84"/>
    </row>
    <row r="998" ht="15.75" customHeight="1">
      <c r="A998" s="84"/>
    </row>
    <row r="999" ht="15.75" customHeight="1">
      <c r="A999" s="84"/>
    </row>
    <row r="1000" ht="15.75" customHeight="1">
      <c r="A1000" s="8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